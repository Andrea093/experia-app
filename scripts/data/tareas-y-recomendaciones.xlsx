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ergioBahamonLievano\Downloads\"/>
    </mc:Choice>
  </mc:AlternateContent>
  <xr:revisionPtr revIDLastSave="0" documentId="8_{E943DE6F-E321-4D13-88B3-1D39CA2F6055}" xr6:coauthVersionLast="47" xr6:coauthVersionMax="47" xr10:uidLastSave="{00000000-0000-0000-0000-000000000000}"/>
  <bookViews>
    <workbookView xWindow="9510" yWindow="0" windowWidth="9780" windowHeight="11370" xr2:uid="{FD6D6065-9359-41A1-9ADC-68C13B03F4A9}"/>
  </bookViews>
  <sheets>
    <sheet name="Rejilla_Para_Plataforma" sheetId="3" r:id="rId1"/>
  </sheets>
  <externalReferences>
    <externalReference r:id="rId2"/>
  </externalReferences>
  <definedNames>
    <definedName name="PARAMETROS">#REF!</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 i="3" l="1"/>
  <c r="C2" i="3"/>
  <c r="D2" i="3"/>
  <c r="E2" i="3"/>
  <c r="F2" i="3"/>
  <c r="G2" i="3"/>
  <c r="H2" i="3"/>
  <c r="I2" i="3"/>
  <c r="J2" i="3"/>
  <c r="B3" i="3"/>
  <c r="C3" i="3"/>
  <c r="D3" i="3"/>
  <c r="E3" i="3"/>
  <c r="F3" i="3"/>
  <c r="G3" i="3"/>
  <c r="H3" i="3"/>
  <c r="I3" i="3"/>
  <c r="J3" i="3"/>
  <c r="B4" i="3"/>
  <c r="C4" i="3"/>
  <c r="D4" i="3"/>
  <c r="E4" i="3"/>
  <c r="F4" i="3"/>
  <c r="G4" i="3"/>
  <c r="H4" i="3"/>
  <c r="I4" i="3"/>
  <c r="J4" i="3"/>
  <c r="B5" i="3"/>
  <c r="C5" i="3"/>
  <c r="D5" i="3"/>
  <c r="E5" i="3"/>
  <c r="F5" i="3"/>
  <c r="G5" i="3"/>
  <c r="H5" i="3"/>
  <c r="I5" i="3"/>
  <c r="J5" i="3"/>
  <c r="B6" i="3"/>
  <c r="C6" i="3"/>
  <c r="D6" i="3"/>
  <c r="E6" i="3"/>
  <c r="F6" i="3"/>
  <c r="G6" i="3"/>
  <c r="H6" i="3"/>
  <c r="I6" i="3"/>
  <c r="J6" i="3"/>
  <c r="B7" i="3"/>
  <c r="C7" i="3"/>
  <c r="D7" i="3"/>
  <c r="E7" i="3"/>
  <c r="F7" i="3"/>
  <c r="G7" i="3"/>
  <c r="H7" i="3"/>
  <c r="I7" i="3"/>
  <c r="J7" i="3"/>
  <c r="B8" i="3"/>
  <c r="C8" i="3"/>
  <c r="D8" i="3"/>
  <c r="E8" i="3"/>
  <c r="F8" i="3"/>
  <c r="G8" i="3"/>
  <c r="H8" i="3"/>
  <c r="I8" i="3"/>
  <c r="J8" i="3"/>
  <c r="B9" i="3"/>
  <c r="C9" i="3"/>
  <c r="D9" i="3"/>
  <c r="E9" i="3"/>
  <c r="F9" i="3"/>
  <c r="G9" i="3"/>
  <c r="H9" i="3"/>
  <c r="I9" i="3"/>
  <c r="J9" i="3"/>
  <c r="B10" i="3"/>
  <c r="C10" i="3"/>
  <c r="D10" i="3"/>
  <c r="E10" i="3"/>
  <c r="F10" i="3"/>
  <c r="G10" i="3"/>
  <c r="H10" i="3"/>
  <c r="I10" i="3"/>
  <c r="J10" i="3"/>
  <c r="B11" i="3"/>
  <c r="C11" i="3"/>
  <c r="D11" i="3"/>
  <c r="E11" i="3"/>
  <c r="F11" i="3"/>
  <c r="G11" i="3"/>
  <c r="H11" i="3"/>
  <c r="I11" i="3"/>
  <c r="J11" i="3"/>
  <c r="B12" i="3"/>
  <c r="C12" i="3"/>
  <c r="D12" i="3"/>
  <c r="E12" i="3"/>
  <c r="F12" i="3"/>
  <c r="G12" i="3"/>
  <c r="H12" i="3"/>
  <c r="I12" i="3"/>
  <c r="J12" i="3"/>
  <c r="B13" i="3"/>
  <c r="C13" i="3"/>
  <c r="D13" i="3"/>
  <c r="E13" i="3"/>
  <c r="F13" i="3"/>
  <c r="G13" i="3"/>
  <c r="H13" i="3"/>
  <c r="I13" i="3"/>
  <c r="J13" i="3"/>
  <c r="B14" i="3"/>
  <c r="C14" i="3"/>
  <c r="D14" i="3"/>
  <c r="E14" i="3"/>
  <c r="F14" i="3"/>
  <c r="G14" i="3"/>
  <c r="H14" i="3"/>
  <c r="I14" i="3"/>
  <c r="J14" i="3"/>
  <c r="B15" i="3"/>
  <c r="C15" i="3"/>
  <c r="D15" i="3"/>
  <c r="E15" i="3"/>
  <c r="F15" i="3"/>
  <c r="G15" i="3"/>
  <c r="H15" i="3"/>
  <c r="I15" i="3"/>
  <c r="J15" i="3"/>
  <c r="B16" i="3"/>
  <c r="C16" i="3"/>
  <c r="D16" i="3"/>
  <c r="E16" i="3"/>
  <c r="F16" i="3"/>
  <c r="G16" i="3"/>
  <c r="H16" i="3"/>
  <c r="I16" i="3"/>
  <c r="J16" i="3"/>
  <c r="B17" i="3"/>
  <c r="C17" i="3"/>
  <c r="D17" i="3"/>
  <c r="E17" i="3"/>
  <c r="F17" i="3"/>
  <c r="G17" i="3"/>
  <c r="H17" i="3"/>
  <c r="I17" i="3"/>
  <c r="J17" i="3"/>
  <c r="B18" i="3"/>
  <c r="C18" i="3"/>
  <c r="D18" i="3"/>
  <c r="E18" i="3"/>
  <c r="F18" i="3"/>
  <c r="G18" i="3"/>
  <c r="H18" i="3"/>
  <c r="I18" i="3"/>
  <c r="J18" i="3"/>
  <c r="B19" i="3"/>
  <c r="C19" i="3"/>
  <c r="D19" i="3"/>
  <c r="E19" i="3"/>
  <c r="F19" i="3"/>
  <c r="G19" i="3"/>
  <c r="H19" i="3"/>
  <c r="I19" i="3"/>
  <c r="J19" i="3"/>
  <c r="B20" i="3"/>
  <c r="C20" i="3"/>
  <c r="D20" i="3"/>
  <c r="E20" i="3"/>
  <c r="F20" i="3"/>
  <c r="G20" i="3"/>
  <c r="H20" i="3"/>
  <c r="I20" i="3"/>
  <c r="J20" i="3"/>
  <c r="B21" i="3"/>
  <c r="C21" i="3"/>
  <c r="D21" i="3"/>
  <c r="E21" i="3"/>
  <c r="F21" i="3"/>
  <c r="G21" i="3"/>
  <c r="H21" i="3"/>
  <c r="I21" i="3"/>
  <c r="J21" i="3"/>
  <c r="B22" i="3"/>
  <c r="C22" i="3"/>
  <c r="D22" i="3"/>
  <c r="E22" i="3"/>
  <c r="F22" i="3"/>
  <c r="G22" i="3"/>
  <c r="H22" i="3"/>
  <c r="I22" i="3"/>
  <c r="J22" i="3"/>
  <c r="B23" i="3"/>
  <c r="C23" i="3"/>
  <c r="D23" i="3"/>
  <c r="E23" i="3"/>
  <c r="F23" i="3"/>
  <c r="G23" i="3"/>
  <c r="H23" i="3"/>
  <c r="I23" i="3"/>
  <c r="J23" i="3"/>
  <c r="B24" i="3"/>
  <c r="C24" i="3"/>
  <c r="D24" i="3"/>
  <c r="E24" i="3"/>
  <c r="F24" i="3"/>
  <c r="G24" i="3"/>
  <c r="H24" i="3"/>
  <c r="I24" i="3"/>
  <c r="J24" i="3"/>
  <c r="B25" i="3"/>
  <c r="C25" i="3"/>
  <c r="D25" i="3"/>
  <c r="E25" i="3"/>
  <c r="F25" i="3"/>
  <c r="G25" i="3"/>
  <c r="H25" i="3"/>
  <c r="I25" i="3"/>
  <c r="J25" i="3"/>
  <c r="B26" i="3"/>
  <c r="C26" i="3"/>
  <c r="D26" i="3"/>
  <c r="E26" i="3"/>
  <c r="F26" i="3"/>
  <c r="G26" i="3"/>
  <c r="H26" i="3"/>
  <c r="I26" i="3"/>
  <c r="J26" i="3"/>
  <c r="B27" i="3"/>
  <c r="C27" i="3"/>
  <c r="D27" i="3"/>
  <c r="E27" i="3"/>
  <c r="F27" i="3"/>
  <c r="G27" i="3"/>
  <c r="H27" i="3"/>
  <c r="I27" i="3"/>
  <c r="J27" i="3"/>
  <c r="B28" i="3"/>
  <c r="C28" i="3"/>
  <c r="D28" i="3"/>
  <c r="E28" i="3"/>
  <c r="F28" i="3"/>
  <c r="G28" i="3"/>
  <c r="H28" i="3"/>
  <c r="I28" i="3"/>
  <c r="J28" i="3"/>
  <c r="B29" i="3"/>
  <c r="C29" i="3"/>
  <c r="D29" i="3"/>
  <c r="E29" i="3"/>
  <c r="F29" i="3"/>
  <c r="G29" i="3"/>
  <c r="H29" i="3"/>
  <c r="I29" i="3"/>
  <c r="J29" i="3"/>
  <c r="B30" i="3"/>
  <c r="C30" i="3"/>
  <c r="D30" i="3"/>
  <c r="E30" i="3"/>
  <c r="F30" i="3"/>
  <c r="G30" i="3"/>
  <c r="H30" i="3"/>
  <c r="I30" i="3"/>
  <c r="J30" i="3"/>
  <c r="B31" i="3"/>
  <c r="C31" i="3"/>
  <c r="D31" i="3"/>
  <c r="E31" i="3"/>
  <c r="F31" i="3"/>
  <c r="G31" i="3"/>
  <c r="H31" i="3"/>
  <c r="I31" i="3"/>
  <c r="J31" i="3"/>
  <c r="B32" i="3"/>
  <c r="C32" i="3"/>
  <c r="D32" i="3"/>
  <c r="E32" i="3"/>
  <c r="F32" i="3"/>
  <c r="G32" i="3"/>
  <c r="H32" i="3"/>
  <c r="I32" i="3"/>
  <c r="J32" i="3"/>
  <c r="B33" i="3"/>
  <c r="C33" i="3"/>
  <c r="D33" i="3"/>
  <c r="E33" i="3"/>
  <c r="F33" i="3"/>
  <c r="G33" i="3"/>
  <c r="H33" i="3"/>
  <c r="I33" i="3"/>
  <c r="J33" i="3"/>
  <c r="B34" i="3"/>
  <c r="C34" i="3"/>
  <c r="D34" i="3"/>
  <c r="E34" i="3"/>
  <c r="F34" i="3"/>
  <c r="G34" i="3"/>
  <c r="H34" i="3"/>
  <c r="I34" i="3"/>
  <c r="J34" i="3"/>
  <c r="B35" i="3"/>
  <c r="C35" i="3"/>
  <c r="D35" i="3"/>
  <c r="E35" i="3"/>
  <c r="F35" i="3"/>
  <c r="G35" i="3"/>
  <c r="H35" i="3"/>
  <c r="I35" i="3"/>
  <c r="J35" i="3"/>
  <c r="B36" i="3"/>
  <c r="C36" i="3"/>
  <c r="D36" i="3"/>
  <c r="E36" i="3"/>
  <c r="F36" i="3"/>
  <c r="G36" i="3"/>
  <c r="H36" i="3"/>
  <c r="I36" i="3"/>
  <c r="J36" i="3"/>
  <c r="B37" i="3"/>
  <c r="C37" i="3"/>
  <c r="D37" i="3"/>
  <c r="E37" i="3"/>
  <c r="F37" i="3"/>
  <c r="G37" i="3"/>
  <c r="H37" i="3"/>
  <c r="I37" i="3"/>
  <c r="J37" i="3"/>
  <c r="B38" i="3"/>
  <c r="C38" i="3"/>
  <c r="D38" i="3"/>
  <c r="E38" i="3"/>
  <c r="F38" i="3"/>
  <c r="G38" i="3"/>
  <c r="H38" i="3"/>
  <c r="I38" i="3"/>
  <c r="J38" i="3"/>
  <c r="B39" i="3"/>
  <c r="C39" i="3"/>
  <c r="D39" i="3"/>
  <c r="E39" i="3"/>
  <c r="F39" i="3"/>
  <c r="G39" i="3"/>
  <c r="H39" i="3"/>
  <c r="I39" i="3"/>
  <c r="J39" i="3"/>
  <c r="B40" i="3"/>
  <c r="C40" i="3"/>
  <c r="D40" i="3"/>
  <c r="E40" i="3"/>
  <c r="F40" i="3"/>
  <c r="G40" i="3"/>
  <c r="H40" i="3"/>
  <c r="I40" i="3"/>
  <c r="J40" i="3"/>
  <c r="B41" i="3"/>
  <c r="C41" i="3"/>
  <c r="D41" i="3"/>
  <c r="E41" i="3"/>
  <c r="F41" i="3"/>
  <c r="G41" i="3"/>
  <c r="H41" i="3"/>
  <c r="I41" i="3"/>
  <c r="J41" i="3"/>
  <c r="B42" i="3"/>
  <c r="C42" i="3"/>
  <c r="D42" i="3"/>
  <c r="E42" i="3"/>
  <c r="F42" i="3"/>
  <c r="G42" i="3"/>
  <c r="H42" i="3"/>
  <c r="I42" i="3"/>
  <c r="J42" i="3"/>
  <c r="B43" i="3"/>
  <c r="C43" i="3"/>
  <c r="D43" i="3"/>
  <c r="E43" i="3"/>
  <c r="F43" i="3"/>
  <c r="G43" i="3"/>
  <c r="H43" i="3"/>
  <c r="I43" i="3"/>
  <c r="J43" i="3"/>
  <c r="B44" i="3"/>
  <c r="C44" i="3"/>
  <c r="D44" i="3"/>
  <c r="E44" i="3"/>
  <c r="F44" i="3"/>
  <c r="G44" i="3"/>
  <c r="H44" i="3"/>
  <c r="I44" i="3"/>
  <c r="J44" i="3"/>
  <c r="B45" i="3"/>
  <c r="C45" i="3"/>
  <c r="D45" i="3"/>
  <c r="E45" i="3"/>
  <c r="F45" i="3"/>
  <c r="G45" i="3"/>
  <c r="H45" i="3"/>
  <c r="I45" i="3"/>
  <c r="J45" i="3"/>
  <c r="B46" i="3"/>
  <c r="C46" i="3"/>
  <c r="D46" i="3"/>
  <c r="E46" i="3"/>
  <c r="F46" i="3"/>
  <c r="G46" i="3"/>
  <c r="H46" i="3"/>
  <c r="I46" i="3"/>
  <c r="J46" i="3"/>
  <c r="B47" i="3"/>
  <c r="C47" i="3"/>
  <c r="D47" i="3"/>
  <c r="E47" i="3"/>
  <c r="F47" i="3"/>
  <c r="G47" i="3"/>
  <c r="H47" i="3"/>
  <c r="I47" i="3"/>
  <c r="J47" i="3"/>
  <c r="B48" i="3"/>
  <c r="C48" i="3"/>
  <c r="D48" i="3"/>
  <c r="E48" i="3"/>
  <c r="F48" i="3"/>
  <c r="G48" i="3"/>
  <c r="H48" i="3"/>
  <c r="I48" i="3"/>
  <c r="J48" i="3"/>
  <c r="B49" i="3"/>
  <c r="C49" i="3"/>
  <c r="D49" i="3"/>
  <c r="E49" i="3"/>
  <c r="F49" i="3"/>
  <c r="G49" i="3"/>
  <c r="H49" i="3"/>
  <c r="I49" i="3"/>
  <c r="J49" i="3"/>
  <c r="B50" i="3"/>
  <c r="C50" i="3"/>
  <c r="D50" i="3"/>
  <c r="E50" i="3"/>
  <c r="F50" i="3"/>
  <c r="G50" i="3"/>
  <c r="H50" i="3"/>
  <c r="I50" i="3"/>
  <c r="J50" i="3"/>
  <c r="B51" i="3"/>
  <c r="C51" i="3"/>
  <c r="D51" i="3"/>
  <c r="E51" i="3"/>
  <c r="F51" i="3"/>
  <c r="G51" i="3"/>
  <c r="H51" i="3"/>
  <c r="I51" i="3"/>
  <c r="J51" i="3"/>
  <c r="B52" i="3"/>
  <c r="C52" i="3"/>
  <c r="D52" i="3"/>
  <c r="E52" i="3"/>
  <c r="F52" i="3"/>
  <c r="G52" i="3"/>
  <c r="H52" i="3"/>
  <c r="I52" i="3"/>
  <c r="J52" i="3"/>
  <c r="B53" i="3"/>
  <c r="C53" i="3"/>
  <c r="D53" i="3"/>
  <c r="E53" i="3"/>
  <c r="F53" i="3"/>
  <c r="G53" i="3"/>
  <c r="H53" i="3"/>
  <c r="I53" i="3"/>
  <c r="J53" i="3"/>
  <c r="B54" i="3"/>
  <c r="C54" i="3"/>
  <c r="D54" i="3"/>
  <c r="E54" i="3"/>
  <c r="F54" i="3"/>
  <c r="G54" i="3"/>
  <c r="H54" i="3"/>
  <c r="I54" i="3"/>
  <c r="J54" i="3"/>
  <c r="B55" i="3"/>
  <c r="C55" i="3"/>
  <c r="D55" i="3"/>
  <c r="E55" i="3"/>
  <c r="F55" i="3"/>
  <c r="G55" i="3"/>
  <c r="H55" i="3"/>
  <c r="I55" i="3"/>
  <c r="J55" i="3"/>
  <c r="B56" i="3"/>
  <c r="C56" i="3"/>
  <c r="D56" i="3"/>
  <c r="E56" i="3"/>
  <c r="F56" i="3"/>
  <c r="G56" i="3"/>
  <c r="H56" i="3"/>
  <c r="I56" i="3"/>
  <c r="J56" i="3"/>
  <c r="B57" i="3"/>
  <c r="C57" i="3"/>
  <c r="D57" i="3"/>
  <c r="E57" i="3"/>
  <c r="F57" i="3"/>
  <c r="G57" i="3"/>
  <c r="H57" i="3"/>
  <c r="I57" i="3"/>
  <c r="J57" i="3"/>
  <c r="B58" i="3"/>
  <c r="C58" i="3"/>
  <c r="D58" i="3"/>
  <c r="E58" i="3"/>
  <c r="F58" i="3"/>
  <c r="G58" i="3"/>
  <c r="H58" i="3"/>
  <c r="I58" i="3"/>
  <c r="J58" i="3"/>
  <c r="B59" i="3"/>
  <c r="C59" i="3"/>
  <c r="D59" i="3"/>
  <c r="E59" i="3"/>
  <c r="F59" i="3"/>
  <c r="G59" i="3"/>
  <c r="H59" i="3"/>
  <c r="I59" i="3"/>
  <c r="J59" i="3"/>
  <c r="B60" i="3"/>
  <c r="C60" i="3"/>
  <c r="D60" i="3"/>
  <c r="E60" i="3"/>
  <c r="F60" i="3"/>
  <c r="G60" i="3"/>
  <c r="H60" i="3"/>
  <c r="I60" i="3"/>
  <c r="J60" i="3"/>
  <c r="B61" i="3"/>
  <c r="C61" i="3"/>
  <c r="D61" i="3"/>
  <c r="E61" i="3"/>
  <c r="F61" i="3"/>
  <c r="G61" i="3"/>
  <c r="H61" i="3"/>
  <c r="I61" i="3"/>
  <c r="J61" i="3"/>
  <c r="B62" i="3"/>
  <c r="C62" i="3"/>
  <c r="D62" i="3"/>
  <c r="E62" i="3"/>
  <c r="F62" i="3"/>
  <c r="G62" i="3"/>
  <c r="H62" i="3"/>
  <c r="I62" i="3"/>
  <c r="J62" i="3"/>
  <c r="B63" i="3"/>
  <c r="C63" i="3"/>
  <c r="D63" i="3"/>
  <c r="E63" i="3"/>
  <c r="F63" i="3"/>
  <c r="G63" i="3"/>
  <c r="H63" i="3"/>
  <c r="I63" i="3"/>
  <c r="J63" i="3"/>
  <c r="B64" i="3"/>
  <c r="C64" i="3"/>
  <c r="D64" i="3"/>
  <c r="E64" i="3"/>
  <c r="F64" i="3"/>
  <c r="G64" i="3"/>
  <c r="H64" i="3"/>
  <c r="I64" i="3"/>
  <c r="J64" i="3"/>
  <c r="B65" i="3"/>
  <c r="C65" i="3"/>
  <c r="D65" i="3"/>
  <c r="E65" i="3"/>
  <c r="F65" i="3"/>
  <c r="G65" i="3"/>
  <c r="H65" i="3"/>
  <c r="I65" i="3"/>
  <c r="J65" i="3"/>
  <c r="B66" i="3"/>
  <c r="C66" i="3"/>
  <c r="D66" i="3"/>
  <c r="E66" i="3"/>
  <c r="F66" i="3"/>
  <c r="G66" i="3"/>
  <c r="H66" i="3"/>
  <c r="I66" i="3"/>
  <c r="J66" i="3"/>
  <c r="B67" i="3"/>
  <c r="C67" i="3"/>
  <c r="D67" i="3"/>
  <c r="E67" i="3"/>
  <c r="F67" i="3"/>
  <c r="G67" i="3"/>
  <c r="H67" i="3"/>
  <c r="I67" i="3"/>
  <c r="J67" i="3"/>
  <c r="B68" i="3"/>
  <c r="C68" i="3"/>
  <c r="D68" i="3"/>
  <c r="E68" i="3"/>
  <c r="F68" i="3"/>
  <c r="G68" i="3"/>
  <c r="H68" i="3"/>
  <c r="I68" i="3"/>
  <c r="J68" i="3"/>
  <c r="B69" i="3"/>
  <c r="C69" i="3"/>
  <c r="D69" i="3"/>
  <c r="E69" i="3"/>
  <c r="F69" i="3"/>
  <c r="G69" i="3"/>
  <c r="H69" i="3"/>
  <c r="I69" i="3"/>
  <c r="J69" i="3"/>
  <c r="B70" i="3"/>
  <c r="C70" i="3"/>
  <c r="D70" i="3"/>
  <c r="E70" i="3"/>
  <c r="F70" i="3"/>
  <c r="G70" i="3"/>
  <c r="H70" i="3"/>
  <c r="I70" i="3"/>
  <c r="J70" i="3"/>
  <c r="B71" i="3"/>
  <c r="C71" i="3"/>
  <c r="D71" i="3"/>
  <c r="E71" i="3"/>
  <c r="F71" i="3"/>
  <c r="G71" i="3"/>
  <c r="H71" i="3"/>
  <c r="I71" i="3"/>
  <c r="J71" i="3"/>
  <c r="B72" i="3"/>
  <c r="C72" i="3"/>
  <c r="D72" i="3"/>
  <c r="E72" i="3"/>
  <c r="F72" i="3"/>
  <c r="G72" i="3"/>
  <c r="H72" i="3"/>
  <c r="I72" i="3"/>
  <c r="J72" i="3"/>
  <c r="B73" i="3"/>
  <c r="C73" i="3"/>
  <c r="D73" i="3"/>
  <c r="E73" i="3"/>
  <c r="F73" i="3"/>
  <c r="G73" i="3"/>
  <c r="H73" i="3"/>
  <c r="I73" i="3"/>
  <c r="J73" i="3"/>
  <c r="B74" i="3"/>
  <c r="C74" i="3"/>
  <c r="D74" i="3"/>
  <c r="E74" i="3"/>
  <c r="F74" i="3"/>
  <c r="G74" i="3"/>
  <c r="H74" i="3"/>
  <c r="I74" i="3"/>
  <c r="J74" i="3"/>
  <c r="B75" i="3"/>
  <c r="C75" i="3"/>
  <c r="D75" i="3"/>
  <c r="E75" i="3"/>
  <c r="F75" i="3"/>
  <c r="G75" i="3"/>
  <c r="H75" i="3"/>
  <c r="I75" i="3"/>
  <c r="J75" i="3"/>
  <c r="B76" i="3"/>
  <c r="C76" i="3"/>
  <c r="D76" i="3"/>
  <c r="E76" i="3"/>
  <c r="F76" i="3"/>
  <c r="G76" i="3"/>
  <c r="H76" i="3"/>
  <c r="I76" i="3"/>
  <c r="J76" i="3"/>
  <c r="B77" i="3"/>
  <c r="C77" i="3"/>
  <c r="D77" i="3"/>
  <c r="E77" i="3"/>
  <c r="F77" i="3"/>
  <c r="G77" i="3"/>
  <c r="H77" i="3"/>
  <c r="I77" i="3"/>
  <c r="J77" i="3"/>
  <c r="B78" i="3"/>
  <c r="C78" i="3"/>
  <c r="D78" i="3"/>
  <c r="E78" i="3"/>
  <c r="F78" i="3"/>
  <c r="G78" i="3"/>
  <c r="H78" i="3"/>
  <c r="I78" i="3"/>
  <c r="J78" i="3"/>
  <c r="B79" i="3"/>
  <c r="C79" i="3"/>
  <c r="D79" i="3"/>
  <c r="E79" i="3"/>
  <c r="F79" i="3"/>
  <c r="G79" i="3"/>
  <c r="H79" i="3"/>
  <c r="I79" i="3"/>
  <c r="J79" i="3"/>
  <c r="B80" i="3"/>
  <c r="C80" i="3"/>
  <c r="D80" i="3"/>
  <c r="E80" i="3"/>
  <c r="F80" i="3"/>
  <c r="G80" i="3"/>
  <c r="H80" i="3"/>
  <c r="I80" i="3"/>
  <c r="J80" i="3"/>
  <c r="B81" i="3"/>
  <c r="C81" i="3"/>
  <c r="D81" i="3"/>
  <c r="E81" i="3"/>
  <c r="F81" i="3"/>
  <c r="G81" i="3"/>
  <c r="H81" i="3"/>
  <c r="I81" i="3"/>
  <c r="J81" i="3"/>
  <c r="B82" i="3"/>
  <c r="C82" i="3"/>
  <c r="D82" i="3"/>
  <c r="E82" i="3"/>
  <c r="F82" i="3"/>
  <c r="G82" i="3"/>
  <c r="H82" i="3"/>
  <c r="I82" i="3"/>
  <c r="J82" i="3"/>
  <c r="B83" i="3"/>
  <c r="C83" i="3"/>
  <c r="D83" i="3"/>
  <c r="E83" i="3"/>
  <c r="F83" i="3"/>
  <c r="G83" i="3"/>
  <c r="H83" i="3"/>
  <c r="I83" i="3"/>
  <c r="J83" i="3"/>
  <c r="B84" i="3"/>
  <c r="C84" i="3"/>
  <c r="D84" i="3"/>
  <c r="E84" i="3"/>
  <c r="F84" i="3"/>
  <c r="G84" i="3"/>
  <c r="H84" i="3"/>
  <c r="I84" i="3"/>
  <c r="J84" i="3"/>
  <c r="B85" i="3"/>
  <c r="C85" i="3"/>
  <c r="D85" i="3"/>
  <c r="E85" i="3"/>
  <c r="F85" i="3"/>
  <c r="G85" i="3"/>
  <c r="H85" i="3"/>
  <c r="I85" i="3"/>
  <c r="J85" i="3"/>
  <c r="B86" i="3"/>
  <c r="C86" i="3"/>
  <c r="D86" i="3"/>
  <c r="E86" i="3"/>
  <c r="F86" i="3"/>
  <c r="G86" i="3"/>
  <c r="H86" i="3"/>
  <c r="I86" i="3"/>
  <c r="J86" i="3"/>
  <c r="B87" i="3"/>
  <c r="C87" i="3"/>
  <c r="D87" i="3"/>
  <c r="E87" i="3"/>
  <c r="F87" i="3"/>
  <c r="G87" i="3"/>
  <c r="H87" i="3"/>
  <c r="I87" i="3"/>
  <c r="J87" i="3"/>
  <c r="B88" i="3"/>
  <c r="C88" i="3"/>
  <c r="D88" i="3"/>
  <c r="E88" i="3"/>
  <c r="F88" i="3"/>
  <c r="G88" i="3"/>
  <c r="H88" i="3"/>
  <c r="I88" i="3"/>
  <c r="J88" i="3"/>
  <c r="B89" i="3"/>
  <c r="C89" i="3"/>
  <c r="D89" i="3"/>
  <c r="E89" i="3"/>
  <c r="F89" i="3"/>
  <c r="G89" i="3"/>
  <c r="H89" i="3"/>
  <c r="I89" i="3"/>
  <c r="J89" i="3"/>
  <c r="B90" i="3"/>
  <c r="C90" i="3"/>
  <c r="D90" i="3"/>
  <c r="E90" i="3"/>
  <c r="F90" i="3"/>
  <c r="G90" i="3"/>
  <c r="H90" i="3"/>
  <c r="I90" i="3"/>
  <c r="J90" i="3"/>
  <c r="B91" i="3"/>
  <c r="C91" i="3"/>
  <c r="D91" i="3"/>
  <c r="E91" i="3"/>
  <c r="F91" i="3"/>
  <c r="G91" i="3"/>
  <c r="H91" i="3"/>
  <c r="I91" i="3"/>
  <c r="J91" i="3"/>
  <c r="B92" i="3"/>
  <c r="C92" i="3"/>
  <c r="D92" i="3"/>
  <c r="E92" i="3"/>
  <c r="F92" i="3"/>
  <c r="G92" i="3"/>
  <c r="H92" i="3"/>
  <c r="I92" i="3"/>
  <c r="J92" i="3"/>
  <c r="B93" i="3"/>
  <c r="C93" i="3"/>
  <c r="D93" i="3"/>
  <c r="E93" i="3"/>
  <c r="F93" i="3"/>
  <c r="G93" i="3"/>
  <c r="H93" i="3"/>
  <c r="I93" i="3"/>
  <c r="J93" i="3"/>
  <c r="B94" i="3"/>
  <c r="C94" i="3"/>
  <c r="D94" i="3"/>
  <c r="E94" i="3"/>
  <c r="F94" i="3"/>
  <c r="G94" i="3"/>
  <c r="H94" i="3"/>
  <c r="I94" i="3"/>
  <c r="J94" i="3"/>
  <c r="B95" i="3"/>
  <c r="C95" i="3"/>
  <c r="D95" i="3"/>
  <c r="E95" i="3"/>
  <c r="F95" i="3"/>
  <c r="G95" i="3"/>
  <c r="H95" i="3"/>
  <c r="I95" i="3"/>
  <c r="J95" i="3"/>
  <c r="B96" i="3"/>
  <c r="C96" i="3"/>
  <c r="D96" i="3"/>
  <c r="E96" i="3"/>
  <c r="F96" i="3"/>
  <c r="G96" i="3"/>
  <c r="H96" i="3"/>
  <c r="I96" i="3"/>
  <c r="J96" i="3"/>
  <c r="B97" i="3"/>
  <c r="C97" i="3"/>
  <c r="D97" i="3"/>
  <c r="E97" i="3"/>
  <c r="F97" i="3"/>
  <c r="G97" i="3"/>
  <c r="H97" i="3"/>
  <c r="I97" i="3"/>
  <c r="J97" i="3"/>
  <c r="B98" i="3"/>
  <c r="C98" i="3"/>
  <c r="D98" i="3"/>
  <c r="E98" i="3"/>
  <c r="F98" i="3"/>
  <c r="G98" i="3"/>
  <c r="H98" i="3"/>
  <c r="I98" i="3"/>
  <c r="J98" i="3"/>
  <c r="B99" i="3"/>
  <c r="C99" i="3"/>
  <c r="D99" i="3"/>
  <c r="E99" i="3"/>
  <c r="F99" i="3"/>
  <c r="G99" i="3"/>
  <c r="H99" i="3"/>
  <c r="I99" i="3"/>
  <c r="J99" i="3"/>
  <c r="B100" i="3"/>
  <c r="C100" i="3"/>
  <c r="D100" i="3"/>
  <c r="E100" i="3"/>
  <c r="F100" i="3"/>
  <c r="G100" i="3"/>
  <c r="H100" i="3"/>
  <c r="I100" i="3"/>
  <c r="J100" i="3"/>
  <c r="B101" i="3"/>
  <c r="C101" i="3"/>
  <c r="D101" i="3"/>
  <c r="E101" i="3"/>
  <c r="F101" i="3"/>
  <c r="G101" i="3"/>
  <c r="H101" i="3"/>
  <c r="I101" i="3"/>
  <c r="J101" i="3"/>
  <c r="B102" i="3"/>
  <c r="C102" i="3"/>
  <c r="D102" i="3"/>
  <c r="E102" i="3"/>
  <c r="F102" i="3"/>
  <c r="G102" i="3"/>
  <c r="H102" i="3"/>
  <c r="I102" i="3"/>
  <c r="J102" i="3"/>
  <c r="B103" i="3"/>
  <c r="C103" i="3"/>
  <c r="D103" i="3"/>
  <c r="E103" i="3"/>
  <c r="F103" i="3"/>
  <c r="G103" i="3"/>
  <c r="H103" i="3"/>
  <c r="I103" i="3"/>
  <c r="J103" i="3"/>
  <c r="B104" i="3"/>
  <c r="C104" i="3"/>
  <c r="D104" i="3"/>
  <c r="E104" i="3"/>
  <c r="F104" i="3"/>
  <c r="G104" i="3"/>
  <c r="H104" i="3"/>
  <c r="I104" i="3"/>
  <c r="J104" i="3"/>
  <c r="B105" i="3"/>
  <c r="C105" i="3"/>
  <c r="D105" i="3"/>
  <c r="E105" i="3"/>
  <c r="F105" i="3"/>
  <c r="G105" i="3"/>
  <c r="H105" i="3"/>
  <c r="I105" i="3"/>
  <c r="J105" i="3"/>
  <c r="B106" i="3"/>
  <c r="C106" i="3"/>
  <c r="D106" i="3"/>
  <c r="E106" i="3"/>
  <c r="F106" i="3"/>
  <c r="G106" i="3"/>
  <c r="H106" i="3"/>
  <c r="I106" i="3"/>
  <c r="J106" i="3"/>
  <c r="B107" i="3"/>
  <c r="C107" i="3"/>
  <c r="D107" i="3"/>
  <c r="E107" i="3"/>
  <c r="F107" i="3"/>
  <c r="G107" i="3"/>
  <c r="H107" i="3"/>
  <c r="I107" i="3"/>
  <c r="J107" i="3"/>
  <c r="B108" i="3"/>
  <c r="C108" i="3"/>
  <c r="D108" i="3"/>
  <c r="E108" i="3"/>
  <c r="F108" i="3"/>
  <c r="G108" i="3"/>
  <c r="H108" i="3"/>
  <c r="I108" i="3"/>
  <c r="J108" i="3"/>
  <c r="B109" i="3"/>
  <c r="C109" i="3"/>
  <c r="D109" i="3"/>
  <c r="E109" i="3"/>
  <c r="F109" i="3"/>
  <c r="G109" i="3"/>
  <c r="H109" i="3"/>
  <c r="I109" i="3"/>
  <c r="J109" i="3"/>
  <c r="B110" i="3"/>
  <c r="C110" i="3"/>
  <c r="D110" i="3"/>
  <c r="E110" i="3"/>
  <c r="F110" i="3"/>
  <c r="G110" i="3"/>
  <c r="H110" i="3"/>
  <c r="I110" i="3"/>
  <c r="J110" i="3"/>
  <c r="B111" i="3"/>
  <c r="C111" i="3"/>
  <c r="D111" i="3"/>
  <c r="E111" i="3"/>
  <c r="F111" i="3"/>
  <c r="G111" i="3"/>
  <c r="H111" i="3"/>
  <c r="I111" i="3"/>
  <c r="J111" i="3"/>
  <c r="B112" i="3"/>
  <c r="C112" i="3"/>
  <c r="D112" i="3"/>
  <c r="E112" i="3"/>
  <c r="F112" i="3"/>
  <c r="G112" i="3"/>
  <c r="H112" i="3"/>
  <c r="I112" i="3"/>
  <c r="J112" i="3"/>
  <c r="B113" i="3"/>
  <c r="C113" i="3"/>
  <c r="D113" i="3"/>
  <c r="E113" i="3"/>
  <c r="F113" i="3"/>
  <c r="G113" i="3"/>
  <c r="H113" i="3"/>
  <c r="I113" i="3"/>
  <c r="J113" i="3"/>
  <c r="B114" i="3"/>
  <c r="C114" i="3"/>
  <c r="D114" i="3"/>
  <c r="E114" i="3"/>
  <c r="F114" i="3"/>
  <c r="G114" i="3"/>
  <c r="H114" i="3"/>
  <c r="I114" i="3"/>
  <c r="J114" i="3"/>
  <c r="B115" i="3"/>
  <c r="C115" i="3"/>
  <c r="D115" i="3"/>
  <c r="E115" i="3"/>
  <c r="F115" i="3"/>
  <c r="G115" i="3"/>
  <c r="H115" i="3"/>
  <c r="I115" i="3"/>
  <c r="J115" i="3"/>
  <c r="B116" i="3"/>
  <c r="C116" i="3"/>
  <c r="D116" i="3"/>
  <c r="E116" i="3"/>
  <c r="F116" i="3"/>
  <c r="G116" i="3"/>
  <c r="H116" i="3"/>
  <c r="I116" i="3"/>
  <c r="J116" i="3"/>
  <c r="B117" i="3"/>
  <c r="C117" i="3"/>
  <c r="D117" i="3"/>
  <c r="E117" i="3"/>
  <c r="F117" i="3"/>
  <c r="G117" i="3"/>
  <c r="H117" i="3"/>
  <c r="I117" i="3"/>
  <c r="J117" i="3"/>
  <c r="B118" i="3"/>
  <c r="C118" i="3"/>
  <c r="D118" i="3"/>
  <c r="E118" i="3"/>
  <c r="F118" i="3"/>
  <c r="G118" i="3"/>
  <c r="H118" i="3"/>
  <c r="I118" i="3"/>
  <c r="J118" i="3"/>
  <c r="B119" i="3"/>
  <c r="C119" i="3"/>
  <c r="D119" i="3"/>
  <c r="E119" i="3"/>
  <c r="F119" i="3"/>
  <c r="G119" i="3"/>
  <c r="H119" i="3"/>
  <c r="I119" i="3"/>
  <c r="J119" i="3"/>
  <c r="B120" i="3"/>
  <c r="C120" i="3"/>
  <c r="D120" i="3"/>
  <c r="E120" i="3"/>
  <c r="F120" i="3"/>
  <c r="G120" i="3"/>
  <c r="H120" i="3"/>
  <c r="I120" i="3"/>
  <c r="J120" i="3"/>
  <c r="B121" i="3"/>
  <c r="C121" i="3"/>
  <c r="D121" i="3"/>
  <c r="E121" i="3"/>
  <c r="F121" i="3"/>
  <c r="G121" i="3"/>
  <c r="H121" i="3"/>
  <c r="I121" i="3"/>
  <c r="J121" i="3"/>
  <c r="B122" i="3"/>
  <c r="C122" i="3"/>
  <c r="D122" i="3"/>
  <c r="E122" i="3"/>
  <c r="F122" i="3"/>
  <c r="G122" i="3"/>
  <c r="H122" i="3"/>
  <c r="I122" i="3"/>
  <c r="J122" i="3"/>
  <c r="B123" i="3"/>
  <c r="C123" i="3"/>
  <c r="D123" i="3"/>
  <c r="E123" i="3"/>
  <c r="F123" i="3"/>
  <c r="G123" i="3"/>
  <c r="H123" i="3"/>
  <c r="I123" i="3"/>
  <c r="J123" i="3"/>
  <c r="B124" i="3"/>
  <c r="C124" i="3"/>
  <c r="D124" i="3"/>
  <c r="E124" i="3"/>
  <c r="F124" i="3"/>
  <c r="G124" i="3"/>
  <c r="H124" i="3"/>
  <c r="I124" i="3"/>
  <c r="J124" i="3"/>
  <c r="B125" i="3"/>
  <c r="C125" i="3"/>
  <c r="D125" i="3"/>
  <c r="E125" i="3"/>
  <c r="F125" i="3"/>
  <c r="G125" i="3"/>
  <c r="H125" i="3"/>
  <c r="I125" i="3"/>
  <c r="J125" i="3"/>
  <c r="B126" i="3"/>
  <c r="C126" i="3"/>
  <c r="D126" i="3"/>
  <c r="E126" i="3"/>
  <c r="F126" i="3"/>
  <c r="G126" i="3"/>
  <c r="H126" i="3"/>
  <c r="I126" i="3"/>
  <c r="J126" i="3"/>
  <c r="B127" i="3"/>
  <c r="C127" i="3"/>
  <c r="D127" i="3"/>
  <c r="E127" i="3"/>
  <c r="F127" i="3"/>
  <c r="G127" i="3"/>
  <c r="H127" i="3"/>
  <c r="I127" i="3"/>
  <c r="J127" i="3"/>
  <c r="B128" i="3"/>
  <c r="C128" i="3"/>
  <c r="D128" i="3"/>
  <c r="E128" i="3"/>
  <c r="F128" i="3"/>
  <c r="G128" i="3"/>
  <c r="H128" i="3"/>
  <c r="I128" i="3"/>
  <c r="J128" i="3"/>
  <c r="B129" i="3"/>
  <c r="C129" i="3"/>
  <c r="D129" i="3"/>
  <c r="E129" i="3"/>
  <c r="F129" i="3"/>
  <c r="G129" i="3"/>
  <c r="H129" i="3"/>
  <c r="I129" i="3"/>
  <c r="J129" i="3"/>
  <c r="B130" i="3"/>
  <c r="C130" i="3"/>
  <c r="D130" i="3"/>
  <c r="E130" i="3"/>
  <c r="F130" i="3"/>
  <c r="G130" i="3"/>
  <c r="H130" i="3"/>
  <c r="I130" i="3"/>
  <c r="J130" i="3"/>
  <c r="B131" i="3"/>
  <c r="C131" i="3"/>
  <c r="D131" i="3"/>
  <c r="E131" i="3"/>
  <c r="F131" i="3"/>
  <c r="G131" i="3"/>
  <c r="H131" i="3"/>
  <c r="I131" i="3"/>
  <c r="J131" i="3"/>
  <c r="B132" i="3"/>
  <c r="C132" i="3"/>
  <c r="D132" i="3"/>
  <c r="E132" i="3"/>
  <c r="F132" i="3"/>
  <c r="G132" i="3"/>
  <c r="H132" i="3"/>
  <c r="I132" i="3"/>
  <c r="J132" i="3"/>
  <c r="B133" i="3"/>
  <c r="C133" i="3"/>
  <c r="D133" i="3"/>
  <c r="E133" i="3"/>
  <c r="F133" i="3"/>
  <c r="G133" i="3"/>
  <c r="H133" i="3"/>
  <c r="I133" i="3"/>
  <c r="J133" i="3"/>
  <c r="B134" i="3"/>
  <c r="C134" i="3"/>
  <c r="D134" i="3"/>
  <c r="E134" i="3"/>
  <c r="F134" i="3"/>
  <c r="G134" i="3"/>
  <c r="H134" i="3"/>
  <c r="I134" i="3"/>
  <c r="J134" i="3"/>
  <c r="B135" i="3"/>
  <c r="C135" i="3"/>
  <c r="D135" i="3"/>
  <c r="E135" i="3"/>
  <c r="F135" i="3"/>
  <c r="G135" i="3"/>
  <c r="H135" i="3"/>
  <c r="I135" i="3"/>
  <c r="J135" i="3"/>
  <c r="B136" i="3"/>
  <c r="C136" i="3"/>
  <c r="D136" i="3"/>
  <c r="E136" i="3"/>
  <c r="F136" i="3"/>
  <c r="G136" i="3"/>
  <c r="H136" i="3"/>
  <c r="I136" i="3"/>
  <c r="J136" i="3"/>
  <c r="B137" i="3"/>
  <c r="C137" i="3"/>
  <c r="D137" i="3"/>
  <c r="E137" i="3"/>
  <c r="F137" i="3"/>
  <c r="G137" i="3"/>
  <c r="H137" i="3"/>
  <c r="I137" i="3"/>
  <c r="J137" i="3"/>
  <c r="B138" i="3"/>
  <c r="C138" i="3"/>
  <c r="D138" i="3"/>
  <c r="E138" i="3"/>
  <c r="F138" i="3"/>
  <c r="G138" i="3"/>
  <c r="H138" i="3"/>
  <c r="I138" i="3"/>
  <c r="J138" i="3"/>
  <c r="B139" i="3"/>
  <c r="C139" i="3"/>
  <c r="D139" i="3"/>
  <c r="E139" i="3"/>
  <c r="F139" i="3"/>
  <c r="G139" i="3"/>
  <c r="H139" i="3"/>
  <c r="I139" i="3"/>
  <c r="J139" i="3"/>
  <c r="B140" i="3"/>
  <c r="C140" i="3"/>
  <c r="D140" i="3"/>
  <c r="E140" i="3"/>
  <c r="F140" i="3"/>
  <c r="G140" i="3"/>
  <c r="H140" i="3"/>
  <c r="I140" i="3"/>
  <c r="J140" i="3"/>
  <c r="B141" i="3"/>
  <c r="C141" i="3"/>
  <c r="D141" i="3"/>
  <c r="E141" i="3"/>
  <c r="F141" i="3"/>
  <c r="G141" i="3"/>
  <c r="H141" i="3"/>
  <c r="I141" i="3"/>
  <c r="J141" i="3"/>
  <c r="B142" i="3"/>
  <c r="C142" i="3"/>
  <c r="D142" i="3"/>
  <c r="E142" i="3"/>
  <c r="F142" i="3"/>
  <c r="G142" i="3"/>
  <c r="H142" i="3"/>
  <c r="I142" i="3"/>
  <c r="J142" i="3"/>
  <c r="B143" i="3"/>
  <c r="C143" i="3"/>
  <c r="D143" i="3"/>
  <c r="E143" i="3"/>
  <c r="F143" i="3"/>
  <c r="G143" i="3"/>
  <c r="H143" i="3"/>
  <c r="I143" i="3"/>
  <c r="J143" i="3"/>
  <c r="B144" i="3"/>
  <c r="C144" i="3"/>
  <c r="D144" i="3"/>
  <c r="E144" i="3"/>
  <c r="F144" i="3"/>
  <c r="G144" i="3"/>
  <c r="H144" i="3"/>
  <c r="I144" i="3"/>
  <c r="J144" i="3"/>
  <c r="B145" i="3"/>
  <c r="C145" i="3"/>
  <c r="D145" i="3"/>
  <c r="E145" i="3"/>
  <c r="F145" i="3"/>
  <c r="G145" i="3"/>
  <c r="H145" i="3"/>
  <c r="I145" i="3"/>
  <c r="J145" i="3"/>
  <c r="B146" i="3"/>
  <c r="C146" i="3"/>
  <c r="D146" i="3"/>
  <c r="E146" i="3"/>
  <c r="F146" i="3"/>
  <c r="G146" i="3"/>
  <c r="H146" i="3"/>
  <c r="I146" i="3"/>
  <c r="J146" i="3"/>
  <c r="B147" i="3"/>
  <c r="C147" i="3"/>
  <c r="D147" i="3"/>
  <c r="E147" i="3"/>
  <c r="F147" i="3"/>
  <c r="G147" i="3"/>
  <c r="H147" i="3"/>
  <c r="I147" i="3"/>
  <c r="J147" i="3"/>
  <c r="B148" i="3"/>
  <c r="C148" i="3"/>
  <c r="D148" i="3"/>
  <c r="E148" i="3"/>
  <c r="F148" i="3"/>
  <c r="G148" i="3"/>
  <c r="H148" i="3"/>
  <c r="I148" i="3"/>
  <c r="J148" i="3"/>
  <c r="B149" i="3"/>
  <c r="C149" i="3"/>
  <c r="D149" i="3"/>
  <c r="E149" i="3"/>
  <c r="F149" i="3"/>
  <c r="G149" i="3"/>
  <c r="H149" i="3"/>
  <c r="I149" i="3"/>
  <c r="J149" i="3"/>
  <c r="B150" i="3"/>
  <c r="C150" i="3"/>
  <c r="D150" i="3"/>
  <c r="E150" i="3"/>
  <c r="F150" i="3"/>
  <c r="G150" i="3"/>
  <c r="H150" i="3"/>
  <c r="I150" i="3"/>
  <c r="J150" i="3"/>
  <c r="B151" i="3"/>
  <c r="C151" i="3"/>
  <c r="D151" i="3"/>
  <c r="E151" i="3"/>
  <c r="F151" i="3"/>
  <c r="G151" i="3"/>
  <c r="H151" i="3"/>
  <c r="I151" i="3"/>
  <c r="J151" i="3"/>
  <c r="B152" i="3"/>
  <c r="C152" i="3"/>
  <c r="D152" i="3"/>
  <c r="E152" i="3"/>
  <c r="F152" i="3"/>
  <c r="G152" i="3"/>
  <c r="H152" i="3"/>
  <c r="I152" i="3"/>
  <c r="J152" i="3"/>
  <c r="B153" i="3"/>
  <c r="C153" i="3"/>
  <c r="D153" i="3"/>
  <c r="E153" i="3"/>
  <c r="F153" i="3"/>
  <c r="G153" i="3"/>
  <c r="H153" i="3"/>
  <c r="I153" i="3"/>
  <c r="J153" i="3"/>
  <c r="B154" i="3"/>
  <c r="C154" i="3"/>
  <c r="D154" i="3"/>
  <c r="E154" i="3"/>
  <c r="F154" i="3"/>
  <c r="G154" i="3"/>
  <c r="H154" i="3"/>
  <c r="I154" i="3"/>
  <c r="J154" i="3"/>
  <c r="B155" i="3"/>
  <c r="C155" i="3"/>
  <c r="D155" i="3"/>
  <c r="E155" i="3"/>
  <c r="F155" i="3"/>
  <c r="G155" i="3"/>
  <c r="H155" i="3"/>
  <c r="I155" i="3"/>
  <c r="J155" i="3"/>
  <c r="B156" i="3"/>
  <c r="C156" i="3"/>
  <c r="D156" i="3"/>
  <c r="E156" i="3"/>
  <c r="F156" i="3"/>
  <c r="G156" i="3"/>
  <c r="H156" i="3"/>
  <c r="I156" i="3"/>
  <c r="J156" i="3"/>
  <c r="B157" i="3"/>
  <c r="C157" i="3"/>
  <c r="D157" i="3"/>
  <c r="E157" i="3"/>
  <c r="F157" i="3"/>
  <c r="G157" i="3"/>
  <c r="H157" i="3"/>
  <c r="I157" i="3"/>
  <c r="J157" i="3"/>
  <c r="B158" i="3"/>
  <c r="C158" i="3"/>
  <c r="D158" i="3"/>
  <c r="E158" i="3"/>
  <c r="F158" i="3"/>
  <c r="G158" i="3"/>
  <c r="H158" i="3"/>
  <c r="I158" i="3"/>
  <c r="J158" i="3"/>
  <c r="B159" i="3"/>
  <c r="C159" i="3"/>
  <c r="D159" i="3"/>
  <c r="E159" i="3"/>
  <c r="F159" i="3"/>
  <c r="G159" i="3"/>
  <c r="H159" i="3"/>
  <c r="I159" i="3"/>
  <c r="J159" i="3"/>
  <c r="B160" i="3"/>
  <c r="C160" i="3"/>
  <c r="D160" i="3"/>
  <c r="E160" i="3"/>
  <c r="F160" i="3"/>
  <c r="G160" i="3"/>
  <c r="H160" i="3"/>
  <c r="I160" i="3"/>
  <c r="J160" i="3"/>
  <c r="B161" i="3"/>
  <c r="C161" i="3"/>
  <c r="D161" i="3"/>
  <c r="E161" i="3"/>
  <c r="F161" i="3"/>
  <c r="G161" i="3"/>
  <c r="H161" i="3"/>
  <c r="I161" i="3"/>
  <c r="J161" i="3"/>
  <c r="B162" i="3"/>
  <c r="C162" i="3"/>
  <c r="D162" i="3"/>
  <c r="E162" i="3"/>
  <c r="F162" i="3"/>
  <c r="G162" i="3"/>
  <c r="H162" i="3"/>
  <c r="I162" i="3"/>
  <c r="J162" i="3"/>
  <c r="B163" i="3"/>
  <c r="C163" i="3"/>
  <c r="D163" i="3"/>
  <c r="E163" i="3"/>
  <c r="F163" i="3"/>
  <c r="G163" i="3"/>
  <c r="H163" i="3"/>
  <c r="I163" i="3"/>
  <c r="J163" i="3"/>
  <c r="B164" i="3"/>
  <c r="C164" i="3"/>
  <c r="D164" i="3"/>
  <c r="E164" i="3"/>
  <c r="F164" i="3"/>
  <c r="G164" i="3"/>
  <c r="H164" i="3"/>
  <c r="I164" i="3"/>
  <c r="J164" i="3"/>
  <c r="B165" i="3"/>
  <c r="C165" i="3"/>
  <c r="D165" i="3"/>
  <c r="E165" i="3"/>
  <c r="F165" i="3"/>
  <c r="G165" i="3"/>
  <c r="H165" i="3"/>
  <c r="I165" i="3"/>
  <c r="J165" i="3"/>
  <c r="B166" i="3"/>
  <c r="C166" i="3"/>
  <c r="D166" i="3"/>
  <c r="E166" i="3"/>
  <c r="F166" i="3"/>
  <c r="G166" i="3"/>
  <c r="H166" i="3"/>
  <c r="I166" i="3"/>
  <c r="J166" i="3"/>
  <c r="B167" i="3"/>
  <c r="C167" i="3"/>
  <c r="D167" i="3"/>
  <c r="E167" i="3"/>
  <c r="F167" i="3"/>
  <c r="G167" i="3"/>
  <c r="H167" i="3"/>
  <c r="I167" i="3"/>
  <c r="J167" i="3"/>
</calcChain>
</file>

<file path=xl/sharedStrings.xml><?xml version="1.0" encoding="utf-8"?>
<sst xmlns="http://schemas.openxmlformats.org/spreadsheetml/2006/main" count="176" uniqueCount="16">
  <si>
    <t>UNIDAD 6</t>
  </si>
  <si>
    <t>UNIDAD 5</t>
  </si>
  <si>
    <t>UNIDAD 4</t>
  </si>
  <si>
    <t>UNIDAD 3</t>
  </si>
  <si>
    <t>UNIDAD 2</t>
  </si>
  <si>
    <t>UNIDAD 1</t>
  </si>
  <si>
    <t>Tarea</t>
  </si>
  <si>
    <t>Recomendación</t>
  </si>
  <si>
    <t>Componente</t>
  </si>
  <si>
    <t>Dificultad</t>
  </si>
  <si>
    <t>Categoría de Tarea</t>
  </si>
  <si>
    <t>EJE ARTICULADOR</t>
  </si>
  <si>
    <t>Código Materia</t>
  </si>
  <si>
    <t># Nro Pregunta</t>
  </si>
  <si>
    <t>Sesión</t>
  </si>
  <si>
    <t>Unidad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</si>
</sst>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Calibri"/>
      <family val="2"/>
      <charset val="1"/>
    </font>
    <font>
      <sz val="11"/>
      <name val="Calibri"/>
      <charset val="1"/>
    </font>
    <font>
      <b/>
      <sz val="11"/>
      <color rgb="FFFFFF00"/>
      <name val="Arial"/>
      <charset val="1"/>
    </font>
  </fonts>
  <fills count="3">
    <fill>
      <patternFill patternType="none"/>
    </fill>
    <fill>
      <patternFill patternType="gray125"/>
    </fill>
    <fill>
      <patternFill patternType="solid">
        <fgColor rgb="FF002060"/>
        <bgColor rgb="FF000080"/>
      </patternFill>
    </fill>
  </fills>
  <borders count="2">
    <border>
      <left/>
      <right/>
      <top/>
      <bottom/>
      <diagonal/>
    </border>
    <border>
      <left/>
      <right/>
      <top/>
      <bottom style="thin">
        <color auto="1"/>
      </bottom>
      <diagonal/>
    </border>
  </borders>
  <cellStyleXfs count="2">
    <xf numFmtId="0" fontId="0" fillId="0" borderId="0"/>
    <xf numFmtId="0" fontId="1" fillId="0" borderId="0"/>
  </cellStyleXfs>
  <cellXfs count="5">
    <xf numFmtId="0" fontId="0" fillId="0" borderId="0" xfId="0"/>
    <xf numFmtId="0" fontId="1" fillId="0" borderId="0" xfId="1"/>
    <xf numFmtId="0" fontId="2" fillId="0" borderId="0" xfId="1" applyFont="1" applyAlignment="1">
      <alignment horizontal="left" vertical="center" wrapText="1"/>
    </xf>
    <xf numFmtId="0" fontId="2" fillId="0" borderId="0" xfId="1" applyFont="1" applyAlignment="1">
      <alignment horizontal="center" vertical="center" wrapText="1"/>
    </xf>
    <xf numFmtId="0" fontId="3" fillId="2" borderId="1" xfId="1" applyFont="1" applyFill="1" applyBorder="1" applyAlignment="1">
      <alignment horizontal="center" vertical="center" wrapText="1"/>
    </xf>
  </cellXfs>
  <cellStyles count="2">
    <cellStyle name="Normal" xfId="0" builtinId="0"/>
    <cellStyle name="Normal 2" xfId="1" xr:uid="{2850DB84-72F5-438D-8989-73B4BB1CBFD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rgioBahamonLievano\Downloads\Rejilla_Final_Libro_Recomendaciones_2.xlsm" TargetMode="External"/><Relationship Id="rId1" Type="http://schemas.openxmlformats.org/officeDocument/2006/relationships/externalLinkPath" Target="Rejilla_Final_Libro_Recomendaciones_2.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men_Unidades"/>
      <sheetName val="Rejilla_Para_Plataforma (2)"/>
      <sheetName val="UNIDAD 1"/>
      <sheetName val="UNIDAD 2"/>
      <sheetName val="UNIDAD 3"/>
      <sheetName val="UNIDAD 4"/>
      <sheetName val="UNIDAD 5"/>
      <sheetName val="UNIDAD 6"/>
      <sheetName val="Catalogo_Verbos"/>
      <sheetName val="Catalogo_Categorias"/>
      <sheetName val="Catalogo_Ejes"/>
      <sheetName val="Catalogo_Competencias"/>
    </sheetNames>
    <sheetDataSet>
      <sheetData sheetId="0"/>
      <sheetData sheetId="1"/>
      <sheetData sheetId="2">
        <row r="3">
          <cell r="E3" t="str">
            <v xml:space="preserve">Exploro </v>
          </cell>
          <cell r="F3" t="str">
            <v>1</v>
          </cell>
          <cell r="H3">
            <v>6</v>
          </cell>
          <cell r="J3" t="str">
            <v>Aspectos fisicoquímicos de las sustancias</v>
          </cell>
          <cell r="L3" t="str">
            <v>Integrando las transformaciones de la materia con los cambios de las sustancias en la vida cotidiana.</v>
          </cell>
          <cell r="O3" t="str">
            <v>Reconocer sustancias puras de mezclas.</v>
          </cell>
          <cell r="P3" t="str">
            <v>BAJA</v>
          </cell>
          <cell r="R3" t="str">
            <v>Reconocimiento</v>
          </cell>
          <cell r="T3" t="str">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4">
          <cell r="E4" t="str">
            <v xml:space="preserve">Exploro </v>
          </cell>
          <cell r="F4">
            <v>2</v>
          </cell>
          <cell r="H4">
            <v>6</v>
          </cell>
          <cell r="J4" t="str">
            <v>Aspectos analíticos de las mezclas</v>
          </cell>
          <cell r="L4" t="str">
            <v>Integrando las transformaciones de la materia con los cambios de las sustancias en la vida cotidiana.</v>
          </cell>
          <cell r="O4" t="str">
            <v>Explicar la composición de una sustancia o mezcla.</v>
          </cell>
          <cell r="P4" t="str">
            <v>MEDIA</v>
          </cell>
          <cell r="R4" t="str">
            <v>Argumentación</v>
          </cell>
          <cell r="T4" t="str">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ell>
        </row>
        <row r="5">
          <cell r="E5" t="str">
            <v xml:space="preserve">Exploro </v>
          </cell>
          <cell r="F5">
            <v>3</v>
          </cell>
          <cell r="H5">
            <v>6</v>
          </cell>
          <cell r="J5" t="str">
            <v>Aspectos fisicoquímicos de las mezclas</v>
          </cell>
          <cell r="L5" t="str">
            <v>Comunicando el proceso de indagación en modelación científica.</v>
          </cell>
          <cell r="O5" t="str">
            <v>Identificar el mejor título de un experimento.</v>
          </cell>
          <cell r="P5" t="str">
            <v>BAJA</v>
          </cell>
          <cell r="R5" t="str">
            <v>Reconocimiento</v>
          </cell>
          <cell r="T5" t="str">
            <v>Presenta ejemplos y contraejemplos del proceso de indagación y los resultados, utilizando gráficas, tablas, ecuaciones aritméticas y algebraicas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6">
          <cell r="E6" t="str">
            <v xml:space="preserve">Exploro </v>
          </cell>
          <cell r="F6" t="str">
            <v>4</v>
          </cell>
          <cell r="H6">
            <v>6</v>
          </cell>
          <cell r="J6" t="str">
            <v>Aspectos fisicoquímicos de las mezclas</v>
          </cell>
          <cell r="L6" t="str">
            <v>Modelando y diseñando experiencias para reconocer las variables que permiten obtener resultados y conclusiones.</v>
          </cell>
          <cell r="O6" t="str">
            <v>Establecer cuál es la tabla de resultados más adecuada para una práctica.</v>
          </cell>
          <cell r="P6" t="str">
            <v>ALTA</v>
          </cell>
          <cell r="R6" t="str">
            <v>Indagación</v>
          </cell>
          <cell r="T6" t="str">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ell>
        </row>
        <row r="7">
          <cell r="E7" t="str">
            <v xml:space="preserve">Exploro </v>
          </cell>
          <cell r="F7">
            <v>5</v>
          </cell>
          <cell r="H7">
            <v>6</v>
          </cell>
          <cell r="J7" t="str">
            <v>Aspectos analíticos de las mezclas</v>
          </cell>
          <cell r="L7" t="str">
            <v>Integrando las transformaciones de la materia con los cambios de las sustancias en la vida cotidiana.</v>
          </cell>
          <cell r="O7" t="str">
            <v>Explicar los procesos de separación de mezclas líquido-líquido, de acuerdo a las propiedades físicas de la mezcla, en sistemas homogéneos y heterogéneos.</v>
          </cell>
          <cell r="P7" t="str">
            <v>BAJA</v>
          </cell>
          <cell r="R7" t="str">
            <v>Argumentación</v>
          </cell>
          <cell r="T7" t="str">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ell>
        </row>
        <row r="8">
          <cell r="E8" t="str">
            <v xml:space="preserve">Exploro </v>
          </cell>
          <cell r="F8">
            <v>6</v>
          </cell>
          <cell r="H8">
            <v>6</v>
          </cell>
          <cell r="J8" t="str">
            <v>Aspectos analíticos de las mezclas</v>
          </cell>
          <cell r="L8" t="str">
            <v>Generando explicaciones a preguntas e hipótesis acerca de la modelación científica.</v>
          </cell>
          <cell r="O8" t="str">
            <v>Identificar nuevas preguntas de indagación que surgen de los resultados.</v>
          </cell>
          <cell r="P8" t="str">
            <v>MEDIA</v>
          </cell>
          <cell r="R8" t="str">
            <v>Reconocimiento</v>
          </cell>
          <cell r="T8" t="str">
            <v>Presenta ejemplos y contraejemplos de mis conclusiones con las presentadas por otros autores y formulo nuevas preguntas y pide a los estudiantes que los clasifiquen, antes de avanzar a preguntas más complejas. Complementa pidiendo que formule una hipótesis propia y la contraste con un resultado observado. Verifica que el estudiante formule preguntas y analice resultados propios, y no solo responda preguntas cerradas.</v>
          </cell>
        </row>
        <row r="9">
          <cell r="E9" t="str">
            <v xml:space="preserve">Exploro </v>
          </cell>
          <cell r="F9" t="str">
            <v>7</v>
          </cell>
          <cell r="H9">
            <v>6</v>
          </cell>
          <cell r="J9" t="str">
            <v>Aspectos analíticos de las mezclas</v>
          </cell>
          <cell r="L9" t="str">
            <v>Modelando y diseñando experiencias para reconocer las variables que permiten obtener resultados y conclusiones.</v>
          </cell>
          <cell r="O9" t="str">
            <v>Reconocer relaciones de causa efecto entre las variables que explican un fenómeno.</v>
          </cell>
          <cell r="P9" t="str">
            <v>BAJA</v>
          </cell>
          <cell r="R9" t="str">
            <v>Reconocimiento</v>
          </cell>
          <cell r="T9" t="str">
            <v>Presenta ejemplos y contraejemplos de relaciones causales y multicausales entre los datos recopilados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ell>
        </row>
        <row r="10">
          <cell r="E10" t="str">
            <v xml:space="preserve">Exploro </v>
          </cell>
          <cell r="F10">
            <v>8</v>
          </cell>
          <cell r="H10">
            <v>6</v>
          </cell>
          <cell r="J10" t="str">
            <v>Aspectos fisicoquímicos de las mezclas</v>
          </cell>
          <cell r="L10" t="str">
            <v>Modelando y diseñando experiencias para reconocer las variables que permiten obtener resultados y conclusiones.</v>
          </cell>
          <cell r="O10" t="str">
            <v>Identificar variables que explican un fenómeno.</v>
          </cell>
          <cell r="P10" t="str">
            <v>ALTA</v>
          </cell>
          <cell r="R10" t="str">
            <v>Reconocimiento</v>
          </cell>
          <cell r="T10" t="str">
            <v>Presenta ejemplos y contraejemplos de variables que influyen en los resultados de un experimento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ell>
        </row>
        <row r="11">
          <cell r="E11" t="str">
            <v xml:space="preserve">Exploro </v>
          </cell>
          <cell r="F11">
            <v>9</v>
          </cell>
          <cell r="H11">
            <v>6</v>
          </cell>
          <cell r="J11" t="str">
            <v>Aspectos fisicoquímicos de las mezclas</v>
          </cell>
          <cell r="L11" t="str">
            <v>Modelando y diseñando experiencias para reconocer las variables que permiten obtener resultados y conclusiones.</v>
          </cell>
          <cell r="O11" t="str">
            <v>Contrastar la información obtenida en el proceso de indagación en la solución de situaciones problémicas.</v>
          </cell>
          <cell r="P11" t="str">
            <v>MEDIA</v>
          </cell>
          <cell r="R11" t="str">
            <v>Análisis</v>
          </cell>
          <cell r="T11" t="str">
            <v>Proporciona ejemplos concretos de variables que influyen en los resultados de un experimento y guía a los estudiantes para que comparen semejanzas y diferencias con un cuadro comparativo. Complementa pidiendo que identifique la variable independiente, la dependiente y la de control en un montaje sencillo. Verifica que el estudiante formule preguntas y analice resultados propios, y no solo responda preguntas cerradas.</v>
          </cell>
        </row>
        <row r="12">
          <cell r="E12" t="str">
            <v xml:space="preserve">Exploro </v>
          </cell>
          <cell r="F12" t="str">
            <v>10</v>
          </cell>
          <cell r="H12">
            <v>6</v>
          </cell>
          <cell r="J12" t="str">
            <v>Aspectos fisicoquímicos de las sustancias</v>
          </cell>
          <cell r="L12" t="str">
            <v>Integrando las transformaciones de la materia con los cambios de las sustancias en la vida cotidiana.</v>
          </cell>
          <cell r="O12" t="str">
            <v>Distinguir por qué algunas sustancias flotan y otras se hunden por diferencias en la densidad.</v>
          </cell>
          <cell r="P12" t="str">
            <v>BAJA</v>
          </cell>
          <cell r="R12" t="str">
            <v>Análisis</v>
          </cell>
          <cell r="T12" t="str">
            <v>Proporciona ejemplos concretos de cambios químicos en la vida cotidiana y en el ambiente y guía a los estudiantes para que comparen semejanzas y diferencias con un cuadro comparativo. Complementa con ejercicios de balanceo y estequiometría aplicados a ejemplos observables de la vida cotidiana. Verifica que el estudiante pueda juzgar la validez de una afirmación o de un modelo explicativo, y no solo describirlo.</v>
          </cell>
        </row>
        <row r="13">
          <cell r="E13" t="str">
            <v>Desarrollo</v>
          </cell>
          <cell r="F13">
            <v>1</v>
          </cell>
          <cell r="H13">
            <v>6</v>
          </cell>
          <cell r="J13" t="str">
            <v>Aspectos fisicoquímicos de las mezclas</v>
          </cell>
          <cell r="L13" t="str">
            <v>Integrando las transformaciones de la materia con los cambios de las sustancias en la vida cotidiana.</v>
          </cell>
          <cell r="O13" t="str">
            <v>Identificar las características que permiten clasificar una mezcla como homogénea o heterogénea.</v>
          </cell>
          <cell r="P13" t="str">
            <v>MEDIA</v>
          </cell>
          <cell r="R13" t="str">
            <v>Reconocimiento</v>
          </cell>
          <cell r="T13" t="str">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14">
          <cell r="E14" t="str">
            <v>Desarrollo</v>
          </cell>
          <cell r="F14">
            <v>2</v>
          </cell>
          <cell r="H14">
            <v>6</v>
          </cell>
          <cell r="J14" t="str">
            <v>Aspectos fisicoquímicos de las mezclas</v>
          </cell>
          <cell r="L14" t="str">
            <v>Procesando información registrando y midiendo de manera adecuada las observaciones del proceso de modelación científico.</v>
          </cell>
          <cell r="O14" t="str">
            <v>Registrar las observaciones de un experimento sin alterar los resultados.</v>
          </cell>
          <cell r="P14" t="str">
            <v>ALTA</v>
          </cell>
          <cell r="R14" t="str">
            <v>Aplicación</v>
          </cell>
          <cell r="T14" t="str">
            <v>Realiza ejercicios prácticos guiados paso a paso sobre mis resultados en forma organizada y sin alteración alguna, retroalimentando el procedimiento y no solo el resultado. Complementa pidiendo que registre datos con unidades y cifras significativas correctas. Verifica que el estudiante formule preguntas y analice resultados propios, y no solo responda preguntas cerradas.</v>
          </cell>
        </row>
        <row r="15">
          <cell r="E15" t="str">
            <v>Desarrollo</v>
          </cell>
          <cell r="F15">
            <v>3</v>
          </cell>
          <cell r="H15">
            <v>6</v>
          </cell>
          <cell r="J15" t="str">
            <v>Aspectos fisicoquímicos de las mezclas</v>
          </cell>
          <cell r="L15" t="str">
            <v>Comunicando el proceso de indagación en modelación científica.</v>
          </cell>
          <cell r="O15" t="str">
            <v>Identificar el mejor título de un experimento.</v>
          </cell>
          <cell r="P15" t="str">
            <v>BAJA</v>
          </cell>
          <cell r="R15" t="str">
            <v>Reconocimiento</v>
          </cell>
          <cell r="T15" t="str">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16">
          <cell r="E16" t="str">
            <v>Desarrollo</v>
          </cell>
          <cell r="F16">
            <v>4</v>
          </cell>
          <cell r="H16">
            <v>6</v>
          </cell>
          <cell r="J16" t="str">
            <v>Aspectos fisicoquímicos de las sustancias</v>
          </cell>
          <cell r="L16" t="str">
            <v>Integrando las transformaciones de la materia con los cambios de las sustancias en la vida cotidiana.</v>
          </cell>
          <cell r="O16" t="str">
            <v>Identificar que cuando se mezclan dos sustancias y se forma un precipitado, un gas o aparece una coloración, se está presentado un cambio químico.</v>
          </cell>
          <cell r="P16" t="str">
            <v>ALTA</v>
          </cell>
          <cell r="R16" t="str">
            <v>Reconocimiento</v>
          </cell>
          <cell r="T16" t="str">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17">
          <cell r="E17" t="str">
            <v>Desarrollo</v>
          </cell>
          <cell r="F17">
            <v>5</v>
          </cell>
          <cell r="H17">
            <v>6</v>
          </cell>
          <cell r="J17" t="str">
            <v>Aspectos fisicoquímicos de las sustancias</v>
          </cell>
          <cell r="L17" t="str">
            <v>Procesando información registrando y midiendo de manera adecuada las observaciones del proceso de modelación científico.</v>
          </cell>
          <cell r="O17" t="str">
            <v>Registrar las observaciones de un experimento sin alterar los resultados.</v>
          </cell>
          <cell r="P17" t="str">
            <v>BAJA</v>
          </cell>
          <cell r="R17" t="str">
            <v>Aplicación</v>
          </cell>
          <cell r="T17" t="str">
            <v>Realiza ejercicios prácticos guiados paso a paso sobre mis resultados en forma organizada y sin alteración alguna, retroalimentando el procedimiento y no solo el resultado. Complementa pidiendo que registre datos con unidades y cifras significativas correctas. Verifica que el estudiante formule preguntas y analice resultados propios, y no solo responda preguntas cerradas.</v>
          </cell>
        </row>
        <row r="18">
          <cell r="E18" t="str">
            <v>Desarrollo</v>
          </cell>
          <cell r="F18">
            <v>6</v>
          </cell>
          <cell r="H18">
            <v>6</v>
          </cell>
          <cell r="J18" t="str">
            <v>Aspectos fisicoquímicos de las sustancias</v>
          </cell>
          <cell r="L18" t="str">
            <v>Comunicando el proceso de indagación en modelación científica.</v>
          </cell>
          <cell r="O18" t="str">
            <v>Identificar el mejor título de un experimento.</v>
          </cell>
          <cell r="P18" t="str">
            <v>MEDIA</v>
          </cell>
          <cell r="R18" t="str">
            <v>Reconocimiento</v>
          </cell>
          <cell r="T18" t="str">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19">
          <cell r="E19" t="str">
            <v>Desarrollo</v>
          </cell>
          <cell r="F19">
            <v>7</v>
          </cell>
          <cell r="H19">
            <v>6</v>
          </cell>
          <cell r="J19" t="str">
            <v>Aspectos analíticos de las sustancias</v>
          </cell>
          <cell r="L19" t="str">
            <v>Integrando las transformaciones de la materia con los cambios de las sustancias en la vida cotidiana.</v>
          </cell>
          <cell r="O19" t="str">
            <v>Establecer la relación que hay entre la cohesión y la repulsión de los diferentes estado de la materia.</v>
          </cell>
          <cell r="P19" t="str">
            <v>BAJA</v>
          </cell>
          <cell r="R19" t="str">
            <v>Indagación</v>
          </cell>
          <cell r="T19" t="str">
            <v>Guía a los estudiantes en el diseño de un pequeño experimento o la formulación de una hipótesis relacionada con cambios químicos en la vida cotidiana y en el ambiente. Complementa con ejercicios de balanceo y estequiometría aplicados a ejemplos observables de la vida cotidiana. Verifica que el estudiante no se limite a repetir el concepto, sino que lo use para resolver un problema distinto al trabajado en clase.</v>
          </cell>
        </row>
        <row r="20">
          <cell r="E20" t="str">
            <v>Desarrollo</v>
          </cell>
          <cell r="F20" t="str">
            <v>8</v>
          </cell>
          <cell r="H20">
            <v>6</v>
          </cell>
          <cell r="J20" t="str">
            <v>Aspectos analíticos de las sustancias</v>
          </cell>
          <cell r="L20" t="str">
            <v>Integrando las transformaciones de la materia con los cambios de las sustancias en la vida cotidiana.</v>
          </cell>
          <cell r="O20" t="str">
            <v>Argumentar como a partir de la cohesión o la repulsión se organizan las moléculas de una sustancia en sus diferentes estados.</v>
          </cell>
          <cell r="P20" t="str">
            <v>ALTA</v>
          </cell>
          <cell r="R20" t="str">
            <v>Argumentación</v>
          </cell>
          <cell r="T20" t="str">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ell>
        </row>
        <row r="21">
          <cell r="E21" t="str">
            <v>Desarrollo</v>
          </cell>
          <cell r="F21">
            <v>9</v>
          </cell>
          <cell r="H21">
            <v>6</v>
          </cell>
          <cell r="J21" t="str">
            <v>Aspectos analíticos de las mezclas</v>
          </cell>
          <cell r="L21" t="str">
            <v>Integrando las transformaciones de la materia con los cambios de las sustancias en la vida cotidiana.</v>
          </cell>
          <cell r="O21" t="str">
            <v>Identificar las características de una sustancia que se obtiene después de aplicar un método de separación.</v>
          </cell>
          <cell r="P21" t="str">
            <v>BAJA</v>
          </cell>
          <cell r="R21" t="str">
            <v>Reconocimiento</v>
          </cell>
          <cell r="T21" t="str">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22">
          <cell r="E22" t="str">
            <v>Desarrollo</v>
          </cell>
          <cell r="F22">
            <v>10</v>
          </cell>
          <cell r="H22">
            <v>6</v>
          </cell>
          <cell r="J22" t="str">
            <v>Aspectos analíticos de las mezclas</v>
          </cell>
          <cell r="L22" t="str">
            <v>Integrando las transformaciones de la materia con los cambios de las sustancias en la vida cotidiana.</v>
          </cell>
          <cell r="O22" t="str">
            <v>Establecer por qué se utiliza un determinado método de separación de acuerdo a las características de la mezcla.</v>
          </cell>
          <cell r="P22" t="str">
            <v>MEDIA</v>
          </cell>
          <cell r="R22" t="str">
            <v>Indagación</v>
          </cell>
          <cell r="T22" t="str">
            <v>Guía a los estudiantes en el diseño de un pequeño experimento o la formulación de una hipótesis relacionada con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ell>
        </row>
        <row r="23">
          <cell r="E23" t="str">
            <v>Desarrollo</v>
          </cell>
          <cell r="F23">
            <v>11</v>
          </cell>
          <cell r="H23">
            <v>6</v>
          </cell>
          <cell r="J23" t="str">
            <v>Aspectos fisicoquímicos de las sustancias</v>
          </cell>
          <cell r="L23" t="str">
            <v>Integrando las transformaciones de la materia con los cambios de las sustancias en la vida cotidiana.</v>
          </cell>
          <cell r="O23" t="str">
            <v>Explicar cómo se afecta la solubilidad de una sustancia cuando se modifica la temperatura, la cantidad de disolvente o la cantidad de soluto.</v>
          </cell>
          <cell r="P23" t="str">
            <v>MEDIA</v>
          </cell>
          <cell r="R23" t="str">
            <v>Argumentación</v>
          </cell>
          <cell r="T23" t="str">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ell>
        </row>
        <row r="24">
          <cell r="E24" t="str">
            <v>Desarrollo</v>
          </cell>
          <cell r="F24">
            <v>12</v>
          </cell>
          <cell r="H24">
            <v>6</v>
          </cell>
          <cell r="J24" t="str">
            <v>Aspectos fisicoquímicos de las sustancias</v>
          </cell>
          <cell r="L24" t="str">
            <v>Integrando las transformaciones de la materia con los cambios de las sustancias en la vida cotidiana.</v>
          </cell>
          <cell r="O24" t="str">
            <v>Explicar los procesos de separación de mezclas sólido-líquido, de acuerdo a las propiedades físicas de la mezcla, en sistemas homogéneos y heterogéneos.</v>
          </cell>
          <cell r="P24" t="str">
            <v>MEDIA</v>
          </cell>
          <cell r="R24" t="str">
            <v>Argumentación</v>
          </cell>
          <cell r="T24" t="str">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ell>
        </row>
        <row r="25">
          <cell r="E25" t="str">
            <v>Desarrollo</v>
          </cell>
          <cell r="F25">
            <v>13</v>
          </cell>
          <cell r="H25">
            <v>6</v>
          </cell>
          <cell r="J25" t="str">
            <v>Aspectos fisicoquímicos de las sustancias</v>
          </cell>
          <cell r="L25" t="str">
            <v>Integrando las transformaciones de la materia con los cambios de las sustancias en la vida cotidiana.</v>
          </cell>
          <cell r="O25" t="str">
            <v>Clasificar cuál o cuáles mezclas son homogéneas y heterogéneas de acuerdo con sus propiedades.</v>
          </cell>
          <cell r="P25" t="str">
            <v>BAJA</v>
          </cell>
          <cell r="R25" t="str">
            <v>Reconocimiento</v>
          </cell>
          <cell r="T25" t="str">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26">
          <cell r="E26" t="str">
            <v>Desarrollo</v>
          </cell>
          <cell r="F26">
            <v>14</v>
          </cell>
          <cell r="H26">
            <v>6</v>
          </cell>
          <cell r="J26" t="str">
            <v>Aspectos analíticos de las mezclas</v>
          </cell>
          <cell r="L26" t="str">
            <v>Evaluando descripciones, evidencias y explicaciones de la comunicación en el trabajo científico.</v>
          </cell>
          <cell r="O26" t="str">
            <v>Diferenciar una descripción, una explicación y una evidencia.</v>
          </cell>
          <cell r="P26" t="str">
            <v>ALTA</v>
          </cell>
          <cell r="R26" t="str">
            <v>Análisis</v>
          </cell>
          <cell r="T26" t="str">
            <v>Proporciona ejemplos concretos de diferencias entre descripción, explicación y evidencia y guía a los estudiantes para que comparen semejanzas y diferencias con un cuadro comparativo. Complementa pidiendo que distinga, en un mismo texto, qué es descripción, qué es evidencia y qué es explicación. Verifica que el estudiante formule preguntas y analice resultados propios, y no solo responda preguntas cerradas.</v>
          </cell>
        </row>
        <row r="27">
          <cell r="E27" t="str">
            <v>Desarrollo</v>
          </cell>
          <cell r="F27">
            <v>15</v>
          </cell>
          <cell r="H27">
            <v>6</v>
          </cell>
          <cell r="J27" t="str">
            <v>Aspectos fisicoquímicos de las sustancias</v>
          </cell>
          <cell r="L27" t="str">
            <v>Integrando las transformaciones de la materia con los cambios de las sustancias en la vida cotidiana.</v>
          </cell>
          <cell r="O27" t="str">
            <v>Identificar cuál es la propiedad que define a un estado de acuerdo a la organización de las partículas (la densidad, la cohesión, la repulsión, la difusión, entre otras).</v>
          </cell>
          <cell r="P27" t="str">
            <v>BAJA</v>
          </cell>
          <cell r="R27" t="str">
            <v>Reconocimiento</v>
          </cell>
          <cell r="T27" t="str">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28">
          <cell r="E28" t="str">
            <v>Aplico</v>
          </cell>
          <cell r="F28" t="str">
            <v>1</v>
          </cell>
          <cell r="H28">
            <v>6</v>
          </cell>
          <cell r="J28" t="str">
            <v>Aspectos analíticos de las sustancias</v>
          </cell>
          <cell r="L28" t="str">
            <v>Integrando las transformaciones de la materia con los cambios de las sustancias en la vida cotidiana.</v>
          </cell>
          <cell r="O28" t="str">
            <v>Identificar diferentes formas de medir la masa de los sólidos, líquidos o gases.</v>
          </cell>
          <cell r="P28" t="str">
            <v>BAJA</v>
          </cell>
          <cell r="R28" t="str">
            <v>Reconocimiento</v>
          </cell>
          <cell r="T28" t="str">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29">
          <cell r="E29" t="str">
            <v>Aplico</v>
          </cell>
          <cell r="F29" t="str">
            <v>2</v>
          </cell>
          <cell r="H29">
            <v>6</v>
          </cell>
          <cell r="J29" t="str">
            <v>Aspectos fisicoquímicos de las mezclas</v>
          </cell>
          <cell r="L29" t="str">
            <v>Modelando y diseñando experiencias para reconocer las variables que permiten obtener resultados y conclusiones.</v>
          </cell>
          <cell r="O29" t="str">
            <v>Identificar las variables presentes en una investigación o en un experimento.</v>
          </cell>
          <cell r="P29" t="str">
            <v>MEDIA</v>
          </cell>
          <cell r="R29" t="str">
            <v>Reconocimiento</v>
          </cell>
          <cell r="T29" t="str">
            <v>Presenta ejemplos y contraejemplos de y realizo experimentos y verifico el efecto de modificar diversas variables para dar respuesta a preguntas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ell>
        </row>
      </sheetData>
      <sheetData sheetId="3">
        <row r="3">
          <cell r="E3" t="str">
            <v xml:space="preserve">Exploro </v>
          </cell>
          <cell r="F3" t="str">
            <v>1</v>
          </cell>
          <cell r="H3">
            <v>6</v>
          </cell>
          <cell r="J3" t="str">
            <v>Aspectos analíticos de las sustancias</v>
          </cell>
          <cell r="L3" t="str">
            <v>Interactuando con las propiedades y clasificación de la materia en sistemas físicos, químicos y biológicos.</v>
          </cell>
          <cell r="O3" t="str">
            <v>Explicar la relación entre el número atómico y la masa atómica.</v>
          </cell>
          <cell r="P3" t="str">
            <v>BAJA</v>
          </cell>
          <cell r="R3" t="str">
            <v>Argumentación</v>
          </cell>
          <cell r="T3" t="str">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ell>
        </row>
        <row r="4">
          <cell r="E4" t="str">
            <v xml:space="preserve">Exploro </v>
          </cell>
          <cell r="F4">
            <v>2</v>
          </cell>
          <cell r="H4">
            <v>6</v>
          </cell>
          <cell r="J4" t="str">
            <v>Aspectos analíticos de las sustancias</v>
          </cell>
          <cell r="L4" t="str">
            <v>Interactuando con las propiedades y clasificación de la materia en sistemas físicos, químicos y biológicos.</v>
          </cell>
          <cell r="O4" t="str">
            <v>Identificar la propiedad que permite clasificar un grupo de elementos de la tabla periódica.</v>
          </cell>
          <cell r="P4" t="str">
            <v>BAJA</v>
          </cell>
          <cell r="R4" t="str">
            <v>Reconocimiento</v>
          </cell>
          <cell r="T4" t="str">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ell>
        </row>
        <row r="5">
          <cell r="E5" t="str">
            <v xml:space="preserve">Exploro </v>
          </cell>
          <cell r="F5">
            <v>3</v>
          </cell>
          <cell r="H5">
            <v>6</v>
          </cell>
          <cell r="J5" t="str">
            <v>Aspectos fisicoquímicos de las sustancias</v>
          </cell>
          <cell r="L5" t="str">
            <v>Modelando y diseñando experiencias para reconocer las variables que permiten obtener resultados y conclusiones.</v>
          </cell>
          <cell r="O5" t="str">
            <v>Establecer preguntas o hipótesis concretas a partir de resultados, tablas, gráficas y procedimientos.</v>
          </cell>
          <cell r="P5" t="str">
            <v>ALTA</v>
          </cell>
          <cell r="R5" t="str">
            <v>Indagación</v>
          </cell>
          <cell r="T5" t="str">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ell>
        </row>
        <row r="6">
          <cell r="E6" t="str">
            <v xml:space="preserve">Exploro </v>
          </cell>
          <cell r="F6" t="str">
            <v>4</v>
          </cell>
          <cell r="H6">
            <v>6</v>
          </cell>
          <cell r="J6" t="str">
            <v>Aspectos fisicoquímicos de las sustancias</v>
          </cell>
          <cell r="L6" t="str">
            <v>Modelando y diseñando experiencias para reconocer las variables que permiten obtener resultados y conclusiones.</v>
          </cell>
          <cell r="O6" t="str">
            <v>Establecer las variables que afectas un experimento a partir de información de graficas, tablas o modelos.</v>
          </cell>
          <cell r="P6" t="str">
            <v>MEDIA</v>
          </cell>
          <cell r="R6" t="str">
            <v>Indagación</v>
          </cell>
          <cell r="T6" t="str">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ell>
        </row>
        <row r="7">
          <cell r="E7" t="str">
            <v xml:space="preserve">Exploro </v>
          </cell>
          <cell r="F7">
            <v>5</v>
          </cell>
          <cell r="H7">
            <v>6</v>
          </cell>
          <cell r="J7" t="str">
            <v>Aspectos analíticos de las sustancias</v>
          </cell>
          <cell r="L7" t="str">
            <v>Interactuando con las propiedades y clasificación de la materia en sistemas físicos, químicos y biológicos.</v>
          </cell>
          <cell r="O7" t="str">
            <v>Explicar a partir de gráficas de enlace químico, por qué el tamaño atómico cambia.</v>
          </cell>
          <cell r="P7" t="str">
            <v>ALTA</v>
          </cell>
          <cell r="R7" t="str">
            <v>Argumentación</v>
          </cell>
          <cell r="T7" t="str">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ell>
        </row>
        <row r="8">
          <cell r="E8" t="str">
            <v xml:space="preserve">Exploro </v>
          </cell>
          <cell r="F8">
            <v>6</v>
          </cell>
          <cell r="H8">
            <v>6</v>
          </cell>
          <cell r="J8" t="str">
            <v>Aspectos analíticos de las sustancias</v>
          </cell>
          <cell r="L8" t="str">
            <v>Interactuando con las propiedades y clasificación de la materia en sistemas físicos, químicos y biológicos.</v>
          </cell>
          <cell r="O8" t="str">
            <v>Explicar qué tipo de enlace químico se forma a partir de información como configuración electrónica, propiedades periódicas, gráficas o tablas periódicas.</v>
          </cell>
          <cell r="P8" t="str">
            <v>MEDIA</v>
          </cell>
          <cell r="R8" t="str">
            <v>Argumentación</v>
          </cell>
          <cell r="T8" t="str">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ell>
        </row>
        <row r="9">
          <cell r="E9" t="str">
            <v xml:space="preserve">Exploro </v>
          </cell>
          <cell r="F9" t="str">
            <v>7</v>
          </cell>
          <cell r="H9">
            <v>6</v>
          </cell>
          <cell r="J9" t="str">
            <v>Aspectos fisicoquímicos de las sustancias</v>
          </cell>
          <cell r="L9" t="str">
            <v>Modelando y diseñando experiencias para reconocer las variables que permiten obtener resultados y conclusiones.</v>
          </cell>
          <cell r="O9" t="str">
            <v>Establecer la variable que afecta un experimento a partir de información de graficas, tablas o modelos.</v>
          </cell>
          <cell r="P9" t="str">
            <v>BAJA</v>
          </cell>
          <cell r="R9" t="str">
            <v>Indagación</v>
          </cell>
          <cell r="T9" t="str">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ell>
        </row>
        <row r="10">
          <cell r="E10" t="str">
            <v xml:space="preserve">Exploro </v>
          </cell>
          <cell r="F10">
            <v>8</v>
          </cell>
          <cell r="H10">
            <v>6</v>
          </cell>
          <cell r="J10" t="str">
            <v>Aspectos fisicoquímicos de las sustancias</v>
          </cell>
          <cell r="L10" t="str">
            <v>Evaluando descripciones, evidencias y explicaciones de la comunicación en el trabajo científico.</v>
          </cell>
          <cell r="O10" t="str">
            <v>Proponer fuentes de información que validen la información presentada en un informe o publicación de un laboratorio.</v>
          </cell>
          <cell r="P10" t="str">
            <v>BAJA</v>
          </cell>
          <cell r="R10" t="str">
            <v>Indagación</v>
          </cell>
          <cell r="T10" t="str">
            <v>Guía a los estudiantes en el diseño de un pequeño experimento o la formulación de una hipótesis relacionada con información en diferentes fuentes, escojo la pertinente y doy el crédito correspondiente. Complementa pidiendo que distinga, en un mismo texto, qué es descripción, qué es evidencia y qué es explicación. Verifica que el estudiante formule preguntas y analice resultados propios, y no solo responda preguntas cerradas.</v>
          </cell>
        </row>
        <row r="11">
          <cell r="E11" t="str">
            <v xml:space="preserve">Exploro </v>
          </cell>
          <cell r="F11">
            <v>9</v>
          </cell>
          <cell r="H11">
            <v>6</v>
          </cell>
          <cell r="J11" t="str">
            <v>Aspectos analíticos de las sustancias</v>
          </cell>
          <cell r="L11" t="str">
            <v>Modelando y diseñando experiencias para reconocer las variables que permiten obtener resultados y conclusiones.</v>
          </cell>
          <cell r="O11" t="str">
            <v>Establecer preguntas o hipótesis concretas a partir de resultados, tablas, gráficas y procedimientos.</v>
          </cell>
          <cell r="P11" t="str">
            <v>MEDIA</v>
          </cell>
          <cell r="R11" t="str">
            <v>Indagación</v>
          </cell>
          <cell r="T11" t="str">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ell>
        </row>
        <row r="12">
          <cell r="E12" t="str">
            <v xml:space="preserve">Exploro </v>
          </cell>
          <cell r="F12" t="str">
            <v>10</v>
          </cell>
          <cell r="H12">
            <v>6</v>
          </cell>
          <cell r="J12" t="str">
            <v>Aspectos analíticos de las sustancias</v>
          </cell>
          <cell r="L12" t="str">
            <v>Interactuando con las propiedades y clasificación de la materia en sistemas físicos, químicos y biológicos.</v>
          </cell>
          <cell r="O12" t="str">
            <v>Explicar cuales son las características que presentan los enlaces químicos.</v>
          </cell>
          <cell r="P12" t="str">
            <v>ALTA</v>
          </cell>
          <cell r="R12" t="str">
            <v>Argumentación</v>
          </cell>
          <cell r="T12" t="str">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ell>
        </row>
        <row r="13">
          <cell r="E13" t="str">
            <v>Desarrollo</v>
          </cell>
          <cell r="F13">
            <v>1</v>
          </cell>
          <cell r="H13">
            <v>6</v>
          </cell>
          <cell r="J13" t="str">
            <v>Aspectos analíticos de las sustancias</v>
          </cell>
          <cell r="L13" t="str">
            <v>Comunicando el proceso de indagación en modelación científica.</v>
          </cell>
          <cell r="O13" t="str">
            <v>Identificar el mejor título de un experimento.</v>
          </cell>
          <cell r="P13" t="str">
            <v>BAJA</v>
          </cell>
          <cell r="R13" t="str">
            <v>Reconocimiento</v>
          </cell>
          <cell r="T13" t="str">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14">
          <cell r="E14" t="str">
            <v>Desarrollo</v>
          </cell>
          <cell r="F14">
            <v>2</v>
          </cell>
          <cell r="H14">
            <v>6</v>
          </cell>
          <cell r="J14" t="str">
            <v>Aspectos analíticos de las sustancias</v>
          </cell>
          <cell r="L14" t="str">
            <v>Interactuando con las propiedades y clasificación de la materia en sistemas físicos, químicos y biológicos.</v>
          </cell>
          <cell r="O14" t="str">
            <v>Argumentar las características que permiten clasificar algunos elementos de la tabla periódica.</v>
          </cell>
          <cell r="P14" t="str">
            <v>ALTA</v>
          </cell>
          <cell r="R14" t="str">
            <v>Argumentación</v>
          </cell>
          <cell r="T14" t="str">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ell>
        </row>
        <row r="15">
          <cell r="E15" t="str">
            <v>Desarrollo</v>
          </cell>
          <cell r="F15">
            <v>3</v>
          </cell>
          <cell r="H15">
            <v>6</v>
          </cell>
          <cell r="J15" t="str">
            <v>Aspectos fisicoquímicos de las sustancias</v>
          </cell>
          <cell r="L15" t="str">
            <v>Interactuando con las propiedades y clasificación de la materia en sistemas físicos, químicos y biológicos.</v>
          </cell>
          <cell r="O15" t="str">
            <v>Comparar elementos de la tabla e identificar cuál presenta mayores o menores propiedades periódicas de acuerdo con su ubicación.</v>
          </cell>
          <cell r="P15" t="str">
            <v>MEDIA</v>
          </cell>
          <cell r="R15" t="str">
            <v>Análisis</v>
          </cell>
          <cell r="T15" t="str">
            <v>Proporciona ejemplos concretos de la tabla periódica para determinar propiedades físicas y químicas de los elementos y guía a los estudiantes para que comparen semejanzas y diferencias con un cuadro comparativo. Complementa con una actividad práctica de clasificación de sustancias puras, mezclas, elementos y compuestos. Verifica que el estudiante no se limite a repetir el concepto, sino que lo use para resolver un problema distinto al trabajado en clase.</v>
          </cell>
        </row>
        <row r="16">
          <cell r="E16" t="str">
            <v>Desarrollo</v>
          </cell>
          <cell r="F16">
            <v>4</v>
          </cell>
          <cell r="H16">
            <v>6</v>
          </cell>
          <cell r="J16" t="str">
            <v>Aspectos fisicoquímicos de las sustancias</v>
          </cell>
          <cell r="L16" t="str">
            <v>Interactuando con las propiedades y clasificación de la materia en sistemas físicos, químicos y biológicos.</v>
          </cell>
          <cell r="O16" t="str">
            <v>Comparar los diferentes cationes y aniones de elementos químicos.</v>
          </cell>
          <cell r="P16" t="str">
            <v>ALTA</v>
          </cell>
          <cell r="R16" t="str">
            <v>Análisis</v>
          </cell>
          <cell r="T16" t="str">
            <v>Proporciona ejemplos concretos de la tabla periódica para determinar propiedades físicas y químicas de los elementos y guía a los estudiantes para que comparen semejanzas y diferencias con un cuadro comparativo. Complementa con una actividad práctica de clasificación de sustancias puras, mezclas, elementos y compuestos. Verifica que el estudiante pueda juzgar la validez de una afirmación o de un modelo explicativo, y no solo describirlo.</v>
          </cell>
        </row>
        <row r="17">
          <cell r="E17" t="str">
            <v>Desarrollo</v>
          </cell>
          <cell r="F17">
            <v>5</v>
          </cell>
          <cell r="H17">
            <v>6</v>
          </cell>
          <cell r="J17" t="str">
            <v>Aspectos analíticos de las sustancias</v>
          </cell>
          <cell r="L17" t="str">
            <v>Interactuando con las propiedades y clasificación de la materia en sistemas físicos, químicos y biológicos.</v>
          </cell>
          <cell r="O17" t="str">
            <v>Explicar las diferentes fuerzas intermoleculares que hay entre elementos, moléculas y compuestos.</v>
          </cell>
          <cell r="P17" t="str">
            <v>BAJA</v>
          </cell>
          <cell r="R17" t="str">
            <v>Argumentación</v>
          </cell>
          <cell r="T17" t="str">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ell>
        </row>
        <row r="18">
          <cell r="E18" t="str">
            <v>Desarrollo</v>
          </cell>
          <cell r="F18">
            <v>6</v>
          </cell>
          <cell r="H18">
            <v>6</v>
          </cell>
          <cell r="J18" t="str">
            <v>Aspectos analíticos de las sustancias</v>
          </cell>
          <cell r="L18" t="str">
            <v>Interactuando con las propiedades y clasificación de la materia en sistemas físicos, químicos y biológicos.</v>
          </cell>
          <cell r="O18" t="str">
            <v>Describir los conceptos de número atómico, número de masa y de neutrones, de los elementos de la tabla periódica y de los isótopos.</v>
          </cell>
          <cell r="P18" t="str">
            <v>MEDIA</v>
          </cell>
          <cell r="R18" t="str">
            <v>Comprensión</v>
          </cell>
          <cell r="T18" t="str">
            <v>Pide a los estudiantes que expliquen con sus propias palabras la tabla periódica para determinar propiedades físicas y químicas de los elementos, verificando que usen correctamente el lenguaje científico. Complementa con una actividad práctica de clasificación de sustancias puras, mezclas, elementos y compuestos. Verifica que el estudiante no se limite a repetir el concepto, sino que lo use para resolver un problema distinto al trabajado en clase.</v>
          </cell>
        </row>
        <row r="19">
          <cell r="E19" t="str">
            <v>Desarrollo</v>
          </cell>
          <cell r="F19">
            <v>7</v>
          </cell>
          <cell r="H19">
            <v>6</v>
          </cell>
          <cell r="J19" t="str">
            <v>Aspectos analíticos de las sustancias</v>
          </cell>
          <cell r="L19" t="str">
            <v>Modelando y diseñando experiencias para reconocer las variables que permiten obtener resultados y conclusiones.</v>
          </cell>
          <cell r="O19" t="str">
            <v>Establecer a partir de resultados, tablas, gráficas o procedimientos la pregunta o hipótesis del experimento.</v>
          </cell>
          <cell r="P19" t="str">
            <v>MEDIA</v>
          </cell>
          <cell r="R19" t="str">
            <v>Indagación</v>
          </cell>
          <cell r="T19" t="str">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ell>
        </row>
        <row r="20">
          <cell r="E20" t="str">
            <v>Desarrollo</v>
          </cell>
          <cell r="F20" t="str">
            <v>8</v>
          </cell>
          <cell r="H20">
            <v>6</v>
          </cell>
          <cell r="J20" t="str">
            <v>Aspectos analíticos de las sustancias</v>
          </cell>
          <cell r="L20" t="str">
            <v>Modelando y diseñando experiencias para reconocer las variables que permiten obtener resultados y conclusiones.</v>
          </cell>
          <cell r="O20" t="str">
            <v>Establecer a partir de resultados, tablas, gráficas o procedimientos la pregunta o hipótesis del experimento.</v>
          </cell>
          <cell r="P20" t="str">
            <v>MEDIA</v>
          </cell>
          <cell r="R20" t="str">
            <v>Indagación</v>
          </cell>
          <cell r="T20" t="str">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ell>
        </row>
        <row r="21">
          <cell r="E21" t="str">
            <v>Desarrollo</v>
          </cell>
          <cell r="F21">
            <v>9</v>
          </cell>
          <cell r="H21">
            <v>6</v>
          </cell>
          <cell r="J21" t="str">
            <v>Aspectos analíticos de las sustancias</v>
          </cell>
          <cell r="L21" t="str">
            <v>Interactuando con las propiedades y clasificación de la materia en sistemas físicos, químicos y biológicos.</v>
          </cell>
          <cell r="O21" t="str">
            <v>Agrupar y ubicar por características algunos elementos de la tabla periódica.</v>
          </cell>
          <cell r="P21" t="str">
            <v>MEDIA</v>
          </cell>
          <cell r="R21" t="str">
            <v>Reconocimiento</v>
          </cell>
          <cell r="T21" t="str">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ell>
        </row>
        <row r="22">
          <cell r="E22" t="str">
            <v>Desarrollo</v>
          </cell>
          <cell r="F22">
            <v>10</v>
          </cell>
          <cell r="H22">
            <v>6</v>
          </cell>
          <cell r="J22" t="str">
            <v>Aspectos analíticos de las mezclas</v>
          </cell>
          <cell r="L22" t="str">
            <v>Interactuando con las propiedades y clasificación de la materia en sistemas físicos, químicos y biológicos.</v>
          </cell>
          <cell r="O22" t="str">
            <v>Explicar como se relaciona la electronegatividad de acuerdo a la posición de los elementos en la tabla periódica.</v>
          </cell>
          <cell r="P22" t="str">
            <v>MEDIA</v>
          </cell>
          <cell r="R22" t="str">
            <v>Argumentación</v>
          </cell>
          <cell r="T22" t="str">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ell>
        </row>
        <row r="23">
          <cell r="E23" t="str">
            <v>Desarrollo</v>
          </cell>
          <cell r="F23">
            <v>11</v>
          </cell>
          <cell r="H23">
            <v>6</v>
          </cell>
          <cell r="J23" t="str">
            <v>Aspectos analíticos de las mezclas</v>
          </cell>
          <cell r="L23" t="str">
            <v>Interactuando con las propiedades y clasificación de la materia en sistemas físicos, químicos y biológicos.</v>
          </cell>
          <cell r="O23" t="str">
            <v>Explicar características químicas de los elementos como su electronegatividad, estructura de Lewis, electrones de valencia, entre otras.</v>
          </cell>
          <cell r="P23" t="str">
            <v>ALTA</v>
          </cell>
          <cell r="R23" t="str">
            <v>Argumentación</v>
          </cell>
          <cell r="T23" t="str">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ell>
        </row>
        <row r="24">
          <cell r="E24" t="str">
            <v>Desarrollo</v>
          </cell>
          <cell r="F24">
            <v>12</v>
          </cell>
          <cell r="H24">
            <v>6</v>
          </cell>
          <cell r="J24" t="str">
            <v>Aspectos fisicoquímicos de las sustancias</v>
          </cell>
          <cell r="L24" t="str">
            <v>Interactuando con las propiedades y clasificación de la materia en sistemas físicos, químicos y biológicos.</v>
          </cell>
          <cell r="O24" t="str">
            <v>Reconocer características químicas de los elementos como su electronegatividad, estructura de Lewis, electrones de valencia, entre otras.</v>
          </cell>
          <cell r="P24" t="str">
            <v>MEDIA</v>
          </cell>
          <cell r="R24" t="str">
            <v>Reconocimiento</v>
          </cell>
          <cell r="T24" t="str">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ell>
        </row>
        <row r="25">
          <cell r="E25" t="str">
            <v>Desarrollo</v>
          </cell>
          <cell r="F25">
            <v>13</v>
          </cell>
          <cell r="H25">
            <v>6</v>
          </cell>
          <cell r="J25" t="str">
            <v>Aspectos analíticos de las sustancias</v>
          </cell>
          <cell r="L25" t="str">
            <v>Interactuando con las propiedades y clasificación de la materia en sistemas físicos, químicos y biológicos.</v>
          </cell>
          <cell r="O25" t="str">
            <v>Identificar a partir de la configuración electrónica, la organización y ubicación los elementos por grupos, periodos, electrones de valencia, regiones y características.</v>
          </cell>
          <cell r="P25" t="str">
            <v>BAJA</v>
          </cell>
          <cell r="R25" t="str">
            <v>Reconocimiento</v>
          </cell>
          <cell r="T25" t="str">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ell>
        </row>
        <row r="26">
          <cell r="E26" t="str">
            <v>Desarrollo</v>
          </cell>
          <cell r="F26">
            <v>14</v>
          </cell>
          <cell r="H26">
            <v>6</v>
          </cell>
          <cell r="J26" t="str">
            <v>Aspectos analíticos de las sustancias</v>
          </cell>
          <cell r="L26" t="str">
            <v>Interactuando con las propiedades y clasificación de la materia en sistemas físicos, químicos y biológicos.</v>
          </cell>
          <cell r="O26" t="str">
            <v>Asociar varios elementos de acuerdo a propiedades de la tabla periódica.</v>
          </cell>
          <cell r="P26" t="str">
            <v>MEDIA</v>
          </cell>
          <cell r="R26" t="str">
            <v>Análisis</v>
          </cell>
          <cell r="T26" t="str">
            <v>Proporciona ejemplos concretos de la tabla periódica para determinar propiedades físicas y químicas de los elementos y guía a los estudiantes para que comparen semejanzas y diferencias con un cuadro comparativo. Complementa con una actividad práctica de clasificación de sustancias puras, mezclas, elementos y compuestos. Verifica que el estudiante pueda juzgar la validez de una afirmación o de un modelo explicativo, y no solo describirlo.</v>
          </cell>
        </row>
        <row r="27">
          <cell r="E27" t="str">
            <v>Desarrollo</v>
          </cell>
          <cell r="F27">
            <v>15</v>
          </cell>
          <cell r="H27">
            <v>6</v>
          </cell>
          <cell r="J27" t="str">
            <v>Aspectos analíticos de las sustancias</v>
          </cell>
          <cell r="L27" t="str">
            <v>Comunicando el proceso de indagación en modelación científica.</v>
          </cell>
          <cell r="O27" t="str">
            <v>Identificar el mejor título de un experimento.</v>
          </cell>
          <cell r="P27" t="str">
            <v>ALTA</v>
          </cell>
          <cell r="R27" t="str">
            <v>Reconocimiento</v>
          </cell>
          <cell r="T27" t="str">
            <v>Presenta ejemplos y contraejemplos del proceso de indagación y los resultados, utilizando gráficas, tablas, ecuaciones aritméticas y algebraicas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28">
          <cell r="E28" t="str">
            <v>Aplico</v>
          </cell>
          <cell r="F28" t="str">
            <v>1</v>
          </cell>
          <cell r="H28">
            <v>6</v>
          </cell>
          <cell r="J28" t="str">
            <v>Aspectos analíticos de las sustancias</v>
          </cell>
          <cell r="L28" t="str">
            <v>Interactuando con las propiedades y clasificación de la materia en sistemas físicos, químicos y biológicos.</v>
          </cell>
          <cell r="O28" t="str">
            <v>Comprender cuáles fueron las características que emplearon los científicos para realizar el ordenamiento de los elementos de la tabla periódica.</v>
          </cell>
          <cell r="P28" t="str">
            <v>ALTA</v>
          </cell>
          <cell r="R28" t="str">
            <v>Comprensión</v>
          </cell>
          <cell r="T28" t="str">
            <v>Pide a los estudiantes que expliquen con sus propias palabras la tabla periódica para determinar propiedades físicas y químicas de los elementos, verificando que usen correctamente el lenguaje científico. Complementa con una actividad práctica de clasificación de sustancias puras, mezclas, elementos y compuestos. Verifica que el estudiante no se limite a repetir el concepto, sino que lo use para resolver un problema distinto al trabajado en clase.</v>
          </cell>
        </row>
        <row r="29">
          <cell r="E29" t="str">
            <v>Aplico</v>
          </cell>
          <cell r="F29" t="str">
            <v>2</v>
          </cell>
          <cell r="H29">
            <v>6</v>
          </cell>
          <cell r="J29" t="str">
            <v>Aspectos analíticos de las sustancias</v>
          </cell>
          <cell r="L29" t="str">
            <v>Interactuando con las propiedades y clasificación de la materia en sistemas físicos, químicos y biológicos.</v>
          </cell>
          <cell r="O29" t="str">
            <v>Identificar a partir de la configuración electrónica, la organización y ubicación los elementos por grupos, periodos, electrones de valencia, regiones y características.</v>
          </cell>
          <cell r="P29" t="str">
            <v>BAJA</v>
          </cell>
          <cell r="R29" t="str">
            <v>Reconocimiento</v>
          </cell>
          <cell r="T29" t="str">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pueda juzgar la validez de una afirmación o de un modelo explicativo, y no solo describirlo.</v>
          </cell>
        </row>
      </sheetData>
      <sheetData sheetId="4">
        <row r="3">
          <cell r="E3" t="str">
            <v xml:space="preserve">Exploro </v>
          </cell>
          <cell r="F3" t="str">
            <v>1</v>
          </cell>
          <cell r="H3">
            <v>6</v>
          </cell>
          <cell r="J3" t="str">
            <v>Aspectos analíticos de las sustancias</v>
          </cell>
          <cell r="L3" t="str">
            <v>Integrando las transformaciones de la materia con los cambios de las sustancias en la vida cotidiana.</v>
          </cell>
          <cell r="O3" t="str">
            <v>Escribir correctamente una ecuación química de acuerdo a un contexto determinado.</v>
          </cell>
          <cell r="P3" t="str">
            <v>ALTA</v>
          </cell>
          <cell r="R3" t="str">
            <v>Comprensión</v>
          </cell>
          <cell r="T3" t="str">
            <v>Pide a los estudiantes que expliquen con sus propias palabras cálculos cuantitativos en cambios químicos, verificando que usen correctamente el lenguaje científico. Complementa con ejercicios de balanceo y estequiometría aplicados a ejemplos observables de la vida cotidiana. Verifica que el estudiante no se limite a repetir el concepto, sino que lo use para resolver un problema distinto al trabajado en clase.</v>
          </cell>
        </row>
        <row r="4">
          <cell r="E4" t="str">
            <v xml:space="preserve">Exploro </v>
          </cell>
          <cell r="F4">
            <v>2</v>
          </cell>
          <cell r="H4">
            <v>6</v>
          </cell>
          <cell r="J4" t="str">
            <v>Aspectos fisicoquímicos de las mezclas</v>
          </cell>
          <cell r="L4" t="str">
            <v>Comunicando el proceso de indagación en modelación científica.</v>
          </cell>
          <cell r="O4" t="str">
            <v>Diseñar o proponer elementos del método científico de forma adecuada.</v>
          </cell>
          <cell r="P4" t="str">
            <v>BAJA</v>
          </cell>
          <cell r="R4" t="str">
            <v>Indagación</v>
          </cell>
          <cell r="T4" t="str">
            <v>Guía a los estudiantes en el diseño de un pequeño experimento o la formulación de una hipótesis relacionada con el proceso de indagación y los resultados, utilizando gráficas, tablas, ecuaciones aritméticas y algebraicas. Complementa pidiendo que registre el proceso en informes o gráficas claras, verificables por un tercero. Verifica que el estudiante formule preguntas y analice resultados propios, y no solo responda preguntas cerradas.</v>
          </cell>
        </row>
        <row r="5">
          <cell r="E5" t="str">
            <v xml:space="preserve">Exploro </v>
          </cell>
          <cell r="F5">
            <v>3</v>
          </cell>
          <cell r="H5">
            <v>6</v>
          </cell>
          <cell r="J5" t="str">
            <v>Aspectos fisicoquímicos de las sustancias</v>
          </cell>
          <cell r="L5" t="str">
            <v>Integrando las transformaciones de la materia con los cambios de las sustancias en la vida cotidiana.</v>
          </cell>
          <cell r="O5" t="str">
            <v xml:space="preserve"> Reconocer el comportamiento de los gases ideales en situaciones donde se modifica una o varias variables.</v>
          </cell>
          <cell r="P5" t="str">
            <v>ALTA</v>
          </cell>
          <cell r="R5" t="str">
            <v>Reconocimiento</v>
          </cell>
          <cell r="T5" t="str">
            <v>Presenta ejemplos y contraejemplos de cálculos cuantitativos en cambios químicos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6">
          <cell r="E6" t="str">
            <v xml:space="preserve">Exploro </v>
          </cell>
          <cell r="F6" t="str">
            <v>4</v>
          </cell>
          <cell r="H6">
            <v>6</v>
          </cell>
          <cell r="J6" t="str">
            <v>Aspectos fisicoquímicos de las sustancias</v>
          </cell>
          <cell r="L6" t="str">
            <v>Generando explicaciones a preguntas e hipótesis acerca de la modelación científica.</v>
          </cell>
          <cell r="O6" t="str">
            <v>Reconocer cual fue la hipótesis inicial del experimento.</v>
          </cell>
          <cell r="P6" t="str">
            <v>MEDIA</v>
          </cell>
          <cell r="R6" t="str">
            <v>Reconocimiento</v>
          </cell>
          <cell r="T6" t="str">
            <v>Presenta ejemplos y contraejemplos de hipótesis con base en el conocimiento cotidiano, teorías y modelos científicos y pide a los estudiantes que los clasifiquen, antes de avanzar a preguntas más complejas. Complementa pidiendo que formule una hipótesis propia y la contraste con un resultado observado. Verifica que el estudiante formule preguntas y analice resultados propios, y no solo responda preguntas cerradas.</v>
          </cell>
        </row>
        <row r="7">
          <cell r="E7" t="str">
            <v xml:space="preserve">Exploro </v>
          </cell>
          <cell r="F7">
            <v>5</v>
          </cell>
          <cell r="H7">
            <v>6</v>
          </cell>
          <cell r="J7" t="str">
            <v>Aspectos fisicoquímicos de las sustancias</v>
          </cell>
          <cell r="L7" t="str">
            <v>Procesando información registrando y midiendo de manera adecuada las observaciones del proceso de modelación científico.</v>
          </cell>
          <cell r="O7" t="str">
            <v>Registrar los resultados que se pueden obtener en un experimento a través de una gráfica.</v>
          </cell>
          <cell r="P7" t="str">
            <v>MEDIA</v>
          </cell>
          <cell r="R7" t="str">
            <v>Aplicación</v>
          </cell>
          <cell r="T7" t="str">
            <v>Realiza ejercicios prácticos guiados paso a paso sobre mis observaciones y resultados utilizando esquemas, gráficos y tablas, retroalimentando el procedimiento y no solo el resultado. Complementa pidiendo que registre datos con unidades y cifras significativas correctas. Verifica que el estudiante formule preguntas y analice resultados propios, y no solo responda preguntas cerradas.</v>
          </cell>
        </row>
        <row r="8">
          <cell r="E8" t="str">
            <v xml:space="preserve">Exploro </v>
          </cell>
          <cell r="F8">
            <v>6</v>
          </cell>
          <cell r="H8">
            <v>6</v>
          </cell>
          <cell r="J8" t="str">
            <v>Aspectos fisicoquímicos de las sustancias</v>
          </cell>
          <cell r="L8" t="str">
            <v>Procesando información registrando y midiendo de manera adecuada las observaciones del proceso de modelación científico.</v>
          </cell>
          <cell r="O8" t="str">
            <v>Reconocer como una variable permite medir una determinada característica.</v>
          </cell>
          <cell r="P8" t="str">
            <v>MEDIA</v>
          </cell>
          <cell r="R8" t="str">
            <v>Reconocimiento</v>
          </cell>
          <cell r="T8" t="str">
            <v>Presenta ejemplos y contraejemplos de mis resultados en forma organizada y sin alteración alguna y pide a los estudiantes que los clasifiquen, antes de avanzar a preguntas más complejas. Complementa pidiendo que registre datos con unidades y cifras significativas correctas. Verifica que el estudiante formule preguntas y analice resultados propios, y no solo responda preguntas cerradas.</v>
          </cell>
        </row>
        <row r="9">
          <cell r="E9" t="str">
            <v xml:space="preserve">Exploro </v>
          </cell>
          <cell r="F9" t="str">
            <v>7</v>
          </cell>
          <cell r="H9">
            <v>6</v>
          </cell>
          <cell r="J9" t="str">
            <v>Aspectos fisicoquímicos de las sustancias</v>
          </cell>
          <cell r="L9" t="str">
            <v>Integrando las transformaciones de la materia con los cambios de las sustancias en la vida cotidiana.</v>
          </cell>
          <cell r="O9" t="str">
            <v>Establecer como una propiedad de un gas afecta la medición de algunas de sus magnitudes, volumen, presión, temperatura y moles.</v>
          </cell>
          <cell r="P9" t="str">
            <v>ALTA</v>
          </cell>
          <cell r="R9" t="str">
            <v>Indagación</v>
          </cell>
          <cell r="T9" t="str">
            <v>Guía a los estudiantes en el diseño de un pequeño experimento o la formulación de una hipótesis relacionada con cambios químicos en la vida cotidiana y en el ambiente. Complementa con ejercicios de balanceo y estequiometría aplicados a ejemplos observables de la vida cotidiana. Verifica que el estudiante no se limite a repetir el concepto, sino que lo use para resolver un problema distinto al trabajado en clase.</v>
          </cell>
        </row>
        <row r="10">
          <cell r="E10" t="str">
            <v xml:space="preserve">Exploro </v>
          </cell>
          <cell r="F10">
            <v>8</v>
          </cell>
          <cell r="H10">
            <v>6</v>
          </cell>
          <cell r="J10" t="str">
            <v>Aspectos analíticos de las mezclas</v>
          </cell>
          <cell r="L10" t="str">
            <v>Comunicando el proceso de indagación en modelación científica.</v>
          </cell>
          <cell r="O10" t="str">
            <v>Identificar situaciones donde se utiliza incorrectamente los elementos del método científico.</v>
          </cell>
          <cell r="P10" t="str">
            <v>MEDIA</v>
          </cell>
          <cell r="R10" t="str">
            <v>Reconocimiento</v>
          </cell>
          <cell r="T10" t="str">
            <v>Presenta ejemplos y contraejemplos del proceso de indagación y los resultados, utilizando gráficas, tablas, ecuaciones aritméticas y algebraicas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11">
          <cell r="E11" t="str">
            <v xml:space="preserve">Exploro </v>
          </cell>
          <cell r="F11">
            <v>9</v>
          </cell>
          <cell r="H11">
            <v>6</v>
          </cell>
          <cell r="J11" t="str">
            <v>Aspectos analíticos de las mezclas</v>
          </cell>
          <cell r="L11" t="str">
            <v>Comunicando el proceso de indagación en modelación científica.</v>
          </cell>
          <cell r="O11" t="str">
            <v>Expresar los resultados de una manera correcta sin alterarlos.</v>
          </cell>
          <cell r="P11" t="str">
            <v>MEDIA</v>
          </cell>
          <cell r="R11" t="str">
            <v>Comprensión</v>
          </cell>
          <cell r="T11" t="str">
            <v>Pide a los estudiantes que expliquen con sus propias palabras el proceso de indagación y los resultados, utilizando gráficas, tablas, ecuaciones aritméticas y algebraicas, verificando que usen correctamente el lenguaje científico. Complementa pidiendo que registre el proceso en informes o gráficas claras, verificables por un tercero. Verifica que el estudiante formule preguntas y analice resultados propios, y no solo responda preguntas cerradas.</v>
          </cell>
        </row>
        <row r="12">
          <cell r="E12" t="str">
            <v xml:space="preserve">Exploro </v>
          </cell>
          <cell r="F12" t="str">
            <v>10</v>
          </cell>
          <cell r="H12">
            <v>6</v>
          </cell>
          <cell r="J12" t="str">
            <v>Aspectos analíticos de las mezclas</v>
          </cell>
          <cell r="L12" t="str">
            <v>Integrando las transformaciones de la materia con los cambios de las sustancias en la vida cotidiana.</v>
          </cell>
          <cell r="O12" t="str">
            <v>Realizar cálculos para determinar proporciones estequiométricas.</v>
          </cell>
          <cell r="P12" t="str">
            <v>MEDIA</v>
          </cell>
          <cell r="R12" t="str">
            <v>Aplicación</v>
          </cell>
          <cell r="T12" t="str">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ell>
        </row>
        <row r="13">
          <cell r="E13" t="str">
            <v>Desarrollo</v>
          </cell>
          <cell r="F13">
            <v>1</v>
          </cell>
          <cell r="H13">
            <v>6</v>
          </cell>
          <cell r="J13" t="str">
            <v>Aspectos fisicoquímicos de las sustancias</v>
          </cell>
          <cell r="L13" t="str">
            <v>Integrando las transformaciones de la materia con los cambios de las sustancias en la vida cotidiana.</v>
          </cell>
          <cell r="O13" t="str">
            <v>Reconocer que los cambios químicos se representan mediante ecuaciones.</v>
          </cell>
          <cell r="P13" t="str">
            <v>MEDIA</v>
          </cell>
          <cell r="R13" t="str">
            <v>Reconocimiento</v>
          </cell>
          <cell r="T13" t="str">
            <v>Presenta ejemplos y contraejemplos de cálculos cuantitativos en cambios químicos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14">
          <cell r="E14" t="str">
            <v>Desarrollo</v>
          </cell>
          <cell r="F14">
            <v>2</v>
          </cell>
          <cell r="H14">
            <v>6</v>
          </cell>
          <cell r="J14" t="str">
            <v>Aspectos fisicoquímicos de las sustancias</v>
          </cell>
          <cell r="L14" t="str">
            <v>Integrando las transformaciones de la materia con los cambios de las sustancias en la vida cotidiana.</v>
          </cell>
          <cell r="O14" t="str">
            <v>Comparar los diferentes cambios químicos y cómo estos se pueden afectar por los cambios en la temperatura o la presión.</v>
          </cell>
          <cell r="P14" t="str">
            <v>ALTA</v>
          </cell>
          <cell r="R14" t="str">
            <v>Análisis</v>
          </cell>
          <cell r="T14" t="str">
            <v>Proporciona ejemplos concretos del efecto de presión y temperatura en los cambios químicos y guía a los estudiantes para que comparen semejanzas y diferencias con un cuadro comparativo. Complementa con ejercicios de balanceo y estequiometría aplicados a ejemplos observables de la vida cotidiana. Verifica que el estudiante pueda juzgar la validez de una afirmación o de un modelo explicativo, y no solo describirlo.</v>
          </cell>
        </row>
        <row r="15">
          <cell r="E15" t="str">
            <v>Desarrollo</v>
          </cell>
          <cell r="F15">
            <v>3</v>
          </cell>
          <cell r="H15">
            <v>6</v>
          </cell>
          <cell r="J15" t="str">
            <v>Aspectos fisicoquímicos de las sustancias</v>
          </cell>
          <cell r="L15" t="str">
            <v>Evaluando descripciones, evidencias y explicaciones de la comunicación en el trabajo científico.</v>
          </cell>
          <cell r="O15" t="str">
            <v>Otorgar valores de validez a las posibles fuentes de información.</v>
          </cell>
          <cell r="P15" t="str">
            <v>BAJA</v>
          </cell>
          <cell r="R15" t="str">
            <v>Comprensión</v>
          </cell>
          <cell r="T15" t="str">
            <v>Pide a los estudiantes que expliquen con sus propias palabras información en diferentes fuentes, escojo la pertinente y doy el crédito correspondiente, verificando que usen correctamente el lenguaje científico. Complementa pidiendo que distinga, en un mismo texto, qué es descripción, qué es evidencia y qué es explicación. Verifica que el estudiante formule preguntas y analice resultados propios, y no solo responda preguntas cerradas.</v>
          </cell>
        </row>
        <row r="16">
          <cell r="E16" t="str">
            <v>Desarrollo</v>
          </cell>
          <cell r="F16">
            <v>4</v>
          </cell>
          <cell r="H16">
            <v>6</v>
          </cell>
          <cell r="J16" t="str">
            <v>Aspectos fisicoquímicos de las mezclas</v>
          </cell>
          <cell r="L16" t="str">
            <v>Integrando las transformaciones de la materia con los cambios de las sustancias en la vida cotidiana.</v>
          </cell>
          <cell r="O16" t="str">
            <v>Realizar cálculos para determinar proporciones estequiométricas a partir de la pureza y rendimiento de la reacción.</v>
          </cell>
          <cell r="P16" t="str">
            <v>MEDIA</v>
          </cell>
          <cell r="R16" t="str">
            <v>Aplicación</v>
          </cell>
          <cell r="T16" t="str">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ell>
        </row>
        <row r="17">
          <cell r="E17" t="str">
            <v>Desarrollo</v>
          </cell>
          <cell r="F17">
            <v>5</v>
          </cell>
          <cell r="H17">
            <v>6</v>
          </cell>
          <cell r="J17" t="str">
            <v>Aspectos fisicoquímicos de las mezclas</v>
          </cell>
          <cell r="L17" t="str">
            <v>Integrando las transformaciones de la materia con los cambios de las sustancias en la vida cotidiana.</v>
          </cell>
          <cell r="O17" t="str">
            <v>Calcular el producto obtenido teniendo en cuenta la pureza de los reactantes.</v>
          </cell>
          <cell r="P17" t="str">
            <v>BAJA</v>
          </cell>
          <cell r="R17" t="str">
            <v>Aplicación</v>
          </cell>
          <cell r="T17" t="str">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no se limite a repetir el concepto, sino que lo use para resolver un problema distinto al trabajado en clase.</v>
          </cell>
        </row>
        <row r="18">
          <cell r="E18" t="str">
            <v>Desarrollo</v>
          </cell>
          <cell r="F18">
            <v>6</v>
          </cell>
          <cell r="H18">
            <v>6</v>
          </cell>
          <cell r="J18" t="str">
            <v>Aspectos analíticos de las mezclas</v>
          </cell>
          <cell r="L18" t="str">
            <v>Integrando las transformaciones de la materia con los cambios de las sustancias en la vida cotidiana.</v>
          </cell>
          <cell r="O18" t="str">
            <v>Describir a partir de tablas de información porcentual o de masa, relaciones entre las fórmulas mínimas o moleculares de un determinado compuesto químico.</v>
          </cell>
          <cell r="P18" t="str">
            <v>ALTA</v>
          </cell>
          <cell r="R18" t="str">
            <v>Comprensión</v>
          </cell>
          <cell r="T18" t="str">
            <v>Pide a los estudiantes que expliquen con sus propias palabras cálculos cuantitativos en cambios químicos, verificando que usen correctamente el lenguaje científico. Complementa con ejercicios de balanceo y estequiometría aplicados a ejemplos observables de la vida cotidiana. Verifica que el estudiante no se limite a repetir el concepto, sino que lo use para resolver un problema distinto al trabajado en clase.</v>
          </cell>
        </row>
        <row r="19">
          <cell r="E19" t="str">
            <v>Desarrollo</v>
          </cell>
          <cell r="F19">
            <v>7</v>
          </cell>
          <cell r="H19">
            <v>6</v>
          </cell>
          <cell r="J19" t="str">
            <v>Aspectos analíticos de las mezclas</v>
          </cell>
          <cell r="L19" t="str">
            <v>Integrando las transformaciones de la materia con los cambios de las sustancias en la vida cotidiana.</v>
          </cell>
          <cell r="O19" t="str">
            <v>Comparar en situaciones los gramos/moles del reactante en exceso o cuánto se necesita para que la reacción sea completa.</v>
          </cell>
          <cell r="P19" t="str">
            <v>MEDIA</v>
          </cell>
          <cell r="R19" t="str">
            <v>Análisis</v>
          </cell>
          <cell r="T19" t="str">
            <v>Proporciona ejemplos concretos de cálculos cuantitativos en cambios químicos y guía a los estudiantes para que comparen semejanzas y diferencias con un cuadro comparativo. Complementa con ejercicios de balanceo y estequiometría aplicados a ejemplos observables de la vida cotidiana. Verifica que el estudiante pueda juzgar la validez de una afirmación o de un modelo explicativo, y no solo describirlo.</v>
          </cell>
        </row>
        <row r="20">
          <cell r="E20" t="str">
            <v>Desarrollo</v>
          </cell>
          <cell r="F20" t="str">
            <v>8</v>
          </cell>
          <cell r="H20">
            <v>6</v>
          </cell>
          <cell r="J20" t="str">
            <v>Aspectos analíticos de las mezclas</v>
          </cell>
          <cell r="L20" t="str">
            <v>Modelando y diseñando experiencias para reconocer las variables que permiten obtener resultados y conclusiones.</v>
          </cell>
          <cell r="O20" t="str">
            <v>Identificar la pregunta a resolver en una investigación o en un experimento.</v>
          </cell>
          <cell r="P20" t="str">
            <v>BAJA</v>
          </cell>
          <cell r="R20" t="str">
            <v>Reconocimiento</v>
          </cell>
          <cell r="T20" t="str">
            <v>Presenta ejemplos y contraejemplos de y realizo experimentos y verifico el efecto de modificar diversas variables para dar respuesta a preguntas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ell>
        </row>
        <row r="21">
          <cell r="E21" t="str">
            <v>Desarrollo</v>
          </cell>
          <cell r="F21">
            <v>9</v>
          </cell>
          <cell r="H21">
            <v>6</v>
          </cell>
          <cell r="J21" t="str">
            <v>Aspectos fisicoquímicos de las mezclas</v>
          </cell>
          <cell r="L21" t="str">
            <v>Integrando las transformaciones de la materia con los cambios de las sustancias en la vida cotidiana.</v>
          </cell>
          <cell r="O21" t="str">
            <v>Reconocer la manera en que una reacción química está escrita correctamente.</v>
          </cell>
          <cell r="P21" t="str">
            <v>MEDIA</v>
          </cell>
          <cell r="R21" t="str">
            <v>Reconocimiento</v>
          </cell>
          <cell r="T21" t="str">
            <v>Presenta ejemplos y contraejemplos de cálculos cuantitativos en cambios químicos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22">
          <cell r="E22" t="str">
            <v>Desarrollo</v>
          </cell>
          <cell r="F22">
            <v>10</v>
          </cell>
          <cell r="H22">
            <v>6</v>
          </cell>
          <cell r="J22" t="str">
            <v>Aspectos analíticos de las mezclas</v>
          </cell>
          <cell r="L22" t="str">
            <v>Integrando las transformaciones de la materia con los cambios de las sustancias en la vida cotidiana.</v>
          </cell>
          <cell r="O22" t="str">
            <v>Describir a partir de un artículo o de información, qué cambios químicos se realizan y/o la ecuación que corresponde a dicho cambio químico.</v>
          </cell>
          <cell r="P22" t="str">
            <v>BAJA</v>
          </cell>
          <cell r="R22" t="str">
            <v>Comprensión</v>
          </cell>
          <cell r="T22" t="str">
            <v>Pide a los estudiantes que expliquen con sus propias palabras cálculos cuantitativos en cambios químicos, verificando que usen correctamente el lenguaje científico. Complementa con ejercicios de balanceo y estequiometría aplicados a ejemplos observables de la vida cotidiana. Verifica que el estudiante no se limite a repetir el concepto, sino que lo use para resolver un problema distinto al trabajado en clase.</v>
          </cell>
        </row>
        <row r="23">
          <cell r="E23" t="str">
            <v>Desarrollo</v>
          </cell>
          <cell r="F23">
            <v>11</v>
          </cell>
          <cell r="H23">
            <v>6</v>
          </cell>
          <cell r="J23" t="str">
            <v>Aspectos analíticos de las sustancias</v>
          </cell>
          <cell r="L23" t="str">
            <v>Procesando información registrando y midiendo de manera adecuada las observaciones del proceso de modelación científico.</v>
          </cell>
          <cell r="O23" t="str">
            <v>Identificar los instrumentos de medida adecuados para establecer las características y propiedades de diferentes objetos.</v>
          </cell>
          <cell r="P23" t="str">
            <v>MEDIA</v>
          </cell>
          <cell r="R23" t="str">
            <v>Reconocimiento</v>
          </cell>
          <cell r="T23" t="str">
            <v>Presenta ejemplos y contraejemplos de mediciones con instrumentos y equipos adecuados a las características y magnitudes de los objetos y las expreso en las unidades correspondientes y pide a los estudiantes que los clasifiquen, antes de avanzar a preguntas más complejas. Complementa pidiendo que registre datos con unidades y cifras significativas correctas. Verifica que el estudiante formule preguntas y analice resultados propios, y no solo responda preguntas cerradas.</v>
          </cell>
        </row>
        <row r="24">
          <cell r="E24" t="str">
            <v>Desarrollo</v>
          </cell>
          <cell r="F24">
            <v>12</v>
          </cell>
          <cell r="H24">
            <v>6</v>
          </cell>
          <cell r="J24" t="str">
            <v>Aspectos analíticos de las mezclas</v>
          </cell>
          <cell r="L24" t="str">
            <v>Integrando las transformaciones de la materia con los cambios de las sustancias en la vida cotidiana.</v>
          </cell>
          <cell r="O24" t="str">
            <v>Explicar aspectos de cómo están escritas las ecuaciones químicas.</v>
          </cell>
          <cell r="P24" t="str">
            <v>BAJA</v>
          </cell>
          <cell r="R24" t="str">
            <v>Argumentación</v>
          </cell>
          <cell r="T24" t="str">
            <v>Propón situaciones en las que los estudiantes deban argumentar y sustentar con evidencia sus respuestas acerca de cálculos cuantitativos en cambios químicos. Complementa con ejercicios de balanceo y estequiometría aplicados a ejemplos observables de la vida cotidiana. Verifica que el estudiante pueda juzgar la validez de una afirmación o de un modelo explicativo, y no solo describirlo.</v>
          </cell>
        </row>
        <row r="25">
          <cell r="E25" t="str">
            <v>Desarrollo</v>
          </cell>
          <cell r="F25">
            <v>13</v>
          </cell>
          <cell r="H25">
            <v>6</v>
          </cell>
          <cell r="J25" t="str">
            <v>Aspectos fisicoquímicos de las mezclas</v>
          </cell>
          <cell r="L25" t="str">
            <v>Integrando las transformaciones de la materia con los cambios de las sustancias en la vida cotidiana.</v>
          </cell>
          <cell r="O25" t="str">
            <v>Balancear correctamente una ecuación química.</v>
          </cell>
          <cell r="P25" t="str">
            <v>BAJA</v>
          </cell>
          <cell r="R25" t="str">
            <v>Aplicación</v>
          </cell>
          <cell r="T25" t="str">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no se limite a repetir el concepto, sino que lo use para resolver un problema distinto al trabajado en clase.</v>
          </cell>
        </row>
        <row r="26">
          <cell r="E26" t="str">
            <v>Desarrollo</v>
          </cell>
          <cell r="F26">
            <v>14</v>
          </cell>
          <cell r="H26">
            <v>6</v>
          </cell>
          <cell r="J26" t="str">
            <v>Aspectos fisicoquímicos de las mezclas</v>
          </cell>
          <cell r="L26" t="str">
            <v>Integrando las transformaciones de la materia con los cambios de las sustancias en la vida cotidiana.</v>
          </cell>
          <cell r="O26" t="str">
            <v>Estimar en situaciones los gramos/moles del reactante en exceso o cuánto se necesita para que la reacción sea completa.</v>
          </cell>
          <cell r="P26" t="str">
            <v>BAJA</v>
          </cell>
          <cell r="R26" t="str">
            <v>Aplicación</v>
          </cell>
          <cell r="T26" t="str">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ell>
        </row>
        <row r="27">
          <cell r="E27" t="str">
            <v>Desarrollo</v>
          </cell>
          <cell r="F27">
            <v>15</v>
          </cell>
          <cell r="H27">
            <v>6</v>
          </cell>
          <cell r="J27" t="str">
            <v>Aspectos fisicoquímicos de las mezclas</v>
          </cell>
          <cell r="L27" t="str">
            <v>Integrando las transformaciones de la materia con los cambios de las sustancias en la vida cotidiana.</v>
          </cell>
          <cell r="O27" t="str">
            <v>Calcular el reactivo límite y los productos de dicha reacción química o encontrar el equivalente estequiométrico.</v>
          </cell>
          <cell r="P27" t="str">
            <v>ALTA</v>
          </cell>
          <cell r="R27" t="str">
            <v>Aplicación</v>
          </cell>
          <cell r="T27" t="str">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no se limite a repetir el concepto, sino que lo use para resolver un problema distinto al trabajado en clase.</v>
          </cell>
        </row>
        <row r="28">
          <cell r="E28" t="str">
            <v>Aplico</v>
          </cell>
          <cell r="F28" t="str">
            <v>1</v>
          </cell>
          <cell r="H28">
            <v>6</v>
          </cell>
          <cell r="J28" t="str">
            <v>Aspectos fisicoquímicos de las mezclas</v>
          </cell>
          <cell r="L28" t="str">
            <v>Integrando las transformaciones de la materia con los cambios de las sustancias en la vida cotidiana.</v>
          </cell>
          <cell r="O28" t="str">
            <v>Realizar cálculos para determinar proporciones estequiométricas a partir de la pureza y rendimiento de la reacción.</v>
          </cell>
          <cell r="P28" t="str">
            <v>MEDIA</v>
          </cell>
          <cell r="R28" t="str">
            <v>Aplicación</v>
          </cell>
          <cell r="T28" t="str">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ell>
        </row>
        <row r="29">
          <cell r="E29" t="str">
            <v>Aplico</v>
          </cell>
          <cell r="F29" t="str">
            <v>2</v>
          </cell>
          <cell r="H29" t="str">
            <v>6</v>
          </cell>
          <cell r="J29" t="str">
            <v>Aspectos fisicoquímicos de las mezclas</v>
          </cell>
          <cell r="L29" t="str">
            <v>Integrando las transformaciones de la materia con los cambios de las sustancias en la vida cotidiana.</v>
          </cell>
          <cell r="O29" t="str">
            <v>Balancear correctamente una ecuación química.</v>
          </cell>
          <cell r="P29" t="str">
            <v>ALTA</v>
          </cell>
          <cell r="R29" t="str">
            <v>Aplicación</v>
          </cell>
          <cell r="T29" t="str">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no se limite a repetir el concepto, sino que lo use para resolver un problema distinto al trabajado en clase.</v>
          </cell>
        </row>
        <row r="30">
          <cell r="E30" t="str">
            <v>Aplico</v>
          </cell>
          <cell r="F30" t="str">
            <v>3</v>
          </cell>
          <cell r="H30" t="str">
            <v>6</v>
          </cell>
          <cell r="J30" t="str">
            <v>Aspectos analíticos de las mezclas</v>
          </cell>
          <cell r="L30" t="str">
            <v>Integrando las transformaciones de la materia con los cambios de las sustancias en la vida cotidiana.</v>
          </cell>
          <cell r="O30" t="str">
            <v>Estimar en situaciones los gramos/moles del reactante en exceso o cuánto se necesita para que la reacción sea completa.</v>
          </cell>
          <cell r="P30" t="str">
            <v>ALTA</v>
          </cell>
          <cell r="R30" t="str">
            <v>Aplicación</v>
          </cell>
          <cell r="T30" t="str">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ell>
        </row>
      </sheetData>
      <sheetData sheetId="5">
        <row r="3">
          <cell r="E3" t="str">
            <v xml:space="preserve">Exploro </v>
          </cell>
          <cell r="F3" t="str">
            <v>1</v>
          </cell>
          <cell r="H3">
            <v>6</v>
          </cell>
          <cell r="J3" t="str">
            <v>Aspectos analíticos de las sustancias</v>
          </cell>
          <cell r="L3" t="str">
            <v>Integrando las transformaciones de la materia con los cambios de las sustancias en la vida cotidiana.</v>
          </cell>
          <cell r="O3" t="str">
            <v>Describir cambios químicos a través de la ecuación que corresponde a dicho cambio químico.</v>
          </cell>
          <cell r="P3" t="str">
            <v>BAJA</v>
          </cell>
          <cell r="R3" t="str">
            <v>Comprensión</v>
          </cell>
          <cell r="T3" t="str">
            <v>Pide a los estudiantes que expliquen con sus propias palabras cambios químicos en condiciones de equilibrio, verificando que usen correctamente el lenguaje científico. Complementa con ejercicios de balanceo y estequiometría aplicados a ejemplos observables de la vida cotidiana. Verifica que el estudiante no se limite a repetir el concepto, sino que lo use para resolver un problema distinto al trabajado en clase.</v>
          </cell>
        </row>
        <row r="4">
          <cell r="E4" t="str">
            <v xml:space="preserve">Exploro </v>
          </cell>
          <cell r="F4">
            <v>2</v>
          </cell>
          <cell r="H4">
            <v>6</v>
          </cell>
          <cell r="J4" t="str">
            <v>Aspectos analíticos de las sustancias</v>
          </cell>
          <cell r="L4" t="str">
            <v>Integrando las transformaciones de la materia con los cambios de las sustancias en la vida cotidiana.</v>
          </cell>
          <cell r="O4" t="str">
            <v>Identificar algunas propiedades físicas de la materia.</v>
          </cell>
          <cell r="P4" t="str">
            <v>BAJA</v>
          </cell>
          <cell r="R4" t="str">
            <v>Reconocimiento</v>
          </cell>
          <cell r="T4" t="str">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5">
          <cell r="E5" t="str">
            <v xml:space="preserve">Exploro </v>
          </cell>
          <cell r="F5">
            <v>3</v>
          </cell>
          <cell r="H5">
            <v>6</v>
          </cell>
          <cell r="J5" t="str">
            <v>Aspectos fisicoquímicos de las mezclas</v>
          </cell>
          <cell r="L5" t="str">
            <v>Integrando las transformaciones de la materia con los cambios de las sustancias en la vida cotidiana.</v>
          </cell>
          <cell r="O5" t="str">
            <v>Argumentar a partir de situaciones como se afecta la relación soluto-solvente de acuerdo a la temperatura.</v>
          </cell>
          <cell r="P5" t="str">
            <v>MEDIA</v>
          </cell>
          <cell r="R5" t="str">
            <v>Argumentación</v>
          </cell>
          <cell r="T5" t="str">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pueda juzgar la validez de una afirmación o de un modelo explicativo, y no solo describirlo.</v>
          </cell>
        </row>
        <row r="6">
          <cell r="E6" t="str">
            <v xml:space="preserve">Exploro </v>
          </cell>
          <cell r="F6" t="str">
            <v>4</v>
          </cell>
          <cell r="H6">
            <v>6</v>
          </cell>
          <cell r="J6" t="str">
            <v>Aspectos fisicoquímicos de las mezclas</v>
          </cell>
          <cell r="L6" t="str">
            <v>Integrando las transformaciones de la materia con los cambios de las sustancias en la vida cotidiana.</v>
          </cell>
          <cell r="O6" t="str">
            <v>Explicar la concentración de una disolución de acuerdo a las condiciones de un contexto o situación en particular.</v>
          </cell>
          <cell r="P6" t="str">
            <v>ALTA</v>
          </cell>
          <cell r="R6" t="str">
            <v>Argumentación</v>
          </cell>
          <cell r="T6" t="str">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pueda juzgar la validez de una afirmación o de un modelo explicativo, y no solo describirlo.</v>
          </cell>
        </row>
        <row r="7">
          <cell r="E7" t="str">
            <v xml:space="preserve">Exploro </v>
          </cell>
          <cell r="F7">
            <v>5</v>
          </cell>
          <cell r="H7">
            <v>6</v>
          </cell>
          <cell r="J7" t="str">
            <v>Aspectos analíticos de las sustancias</v>
          </cell>
          <cell r="L7" t="str">
            <v>Generando explicaciones a preguntas e hipótesis acerca de la modelación científica.</v>
          </cell>
          <cell r="O7" t="str">
            <v>Reconocer la hipótesis inicial del experimento.</v>
          </cell>
          <cell r="P7" t="str">
            <v>BAJA</v>
          </cell>
          <cell r="R7" t="str">
            <v>Reconocimiento</v>
          </cell>
          <cell r="T7" t="str">
            <v>Presenta ejemplos y contraejemplos de hipótesis con base en el conocimiento cotidiano, teorías y modelos científicos y pide a los estudiantes que los clasifiquen, antes de avanzar a preguntas más complejas. Complementa pidiendo que formule una hipótesis propia y la contraste con un resultado observado. Verifica que el estudiante formule preguntas y analice resultados propios, y no solo responda preguntas cerradas.</v>
          </cell>
        </row>
        <row r="8">
          <cell r="E8" t="str">
            <v xml:space="preserve">Exploro </v>
          </cell>
          <cell r="F8">
            <v>6</v>
          </cell>
          <cell r="H8">
            <v>6</v>
          </cell>
          <cell r="J8" t="str">
            <v>Aspectos analíticos de las sustancias</v>
          </cell>
          <cell r="L8" t="str">
            <v>Modelando y diseñando experiencias para reconocer las variables que permiten obtener resultados y conclusiones.</v>
          </cell>
          <cell r="O8" t="str">
            <v>Identificar a partir de graficas, tablas o modelos cuál y cómo la variable afecta dicho experimento.</v>
          </cell>
          <cell r="P8" t="str">
            <v>BAJA</v>
          </cell>
          <cell r="R8" t="str">
            <v>Reconocimiento</v>
          </cell>
          <cell r="T8" t="str">
            <v>Presenta ejemplos y contraejemplos de relaciones causales y multicausales entre los datos recopilados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ell>
        </row>
        <row r="9">
          <cell r="E9" t="str">
            <v xml:space="preserve">Exploro </v>
          </cell>
          <cell r="F9" t="str">
            <v>7</v>
          </cell>
          <cell r="H9">
            <v>6</v>
          </cell>
          <cell r="J9" t="str">
            <v>Aspectos fisicoquímicos de las mezclas</v>
          </cell>
          <cell r="L9" t="str">
            <v>Comunicando el proceso de indagación en modelación científica.</v>
          </cell>
          <cell r="O9" t="str">
            <v>Identificar el mejor título de un experimento.</v>
          </cell>
          <cell r="P9" t="str">
            <v>MEDIA</v>
          </cell>
          <cell r="R9" t="str">
            <v>Reconocimiento</v>
          </cell>
          <cell r="T9" t="str">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10">
          <cell r="E10" t="str">
            <v xml:space="preserve">Exploro </v>
          </cell>
          <cell r="F10">
            <v>8</v>
          </cell>
          <cell r="H10">
            <v>6</v>
          </cell>
          <cell r="J10" t="str">
            <v>Aspectos fisicoquímicos de las mezclas</v>
          </cell>
          <cell r="L10" t="str">
            <v>Integrando las transformaciones de la materia con los cambios de las sustancias en la vida cotidiana.</v>
          </cell>
          <cell r="O10" t="str">
            <v>Explicar los factores que afectan la solubilidad.</v>
          </cell>
          <cell r="P10" t="str">
            <v>MEDIA</v>
          </cell>
          <cell r="R10" t="str">
            <v>Argumentación</v>
          </cell>
          <cell r="T10" t="str">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pueda juzgar la validez de una afirmación o de un modelo explicativo, y no solo describirlo.</v>
          </cell>
        </row>
        <row r="11">
          <cell r="E11" t="str">
            <v xml:space="preserve">Exploro </v>
          </cell>
          <cell r="F11">
            <v>9</v>
          </cell>
          <cell r="H11">
            <v>6</v>
          </cell>
          <cell r="J11" t="str">
            <v>Aspectos fisicoquímicos de las mezclas</v>
          </cell>
          <cell r="L11" t="str">
            <v>Integrando las transformaciones de la materia con los cambios de las sustancias en la vida cotidiana.</v>
          </cell>
          <cell r="O11" t="str">
            <v>Reconocer los factores que afectan la solubilidad.</v>
          </cell>
          <cell r="P11" t="str">
            <v>MEDIA</v>
          </cell>
          <cell r="R11" t="str">
            <v>Reconocimiento</v>
          </cell>
          <cell r="T11" t="str">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12">
          <cell r="E12" t="str">
            <v xml:space="preserve">Exploro </v>
          </cell>
          <cell r="F12" t="str">
            <v>10</v>
          </cell>
          <cell r="H12">
            <v>6</v>
          </cell>
          <cell r="J12" t="str">
            <v>Aspectos fisicoquímicos de las mezclas</v>
          </cell>
          <cell r="L12" t="str">
            <v>Integrando las transformaciones de la materia con los cambios de las sustancias en la vida cotidiana.</v>
          </cell>
          <cell r="O12" t="str">
            <v>Explicar los factores que afectan la solubilidad.</v>
          </cell>
          <cell r="P12" t="str">
            <v>MEDIA</v>
          </cell>
          <cell r="R12" t="str">
            <v>Argumentación</v>
          </cell>
          <cell r="T12" t="str">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pueda juzgar la validez de una afirmación o de un modelo explicativo, y no solo describirlo.</v>
          </cell>
        </row>
        <row r="13">
          <cell r="E13" t="str">
            <v>Desarrollo</v>
          </cell>
          <cell r="F13">
            <v>1</v>
          </cell>
          <cell r="H13">
            <v>6</v>
          </cell>
          <cell r="J13" t="str">
            <v>Aspectos fisicoquímicos de las sustancias</v>
          </cell>
          <cell r="L13" t="str">
            <v>Comunicando el proceso de indagación en modelación científica.</v>
          </cell>
          <cell r="O13" t="str">
            <v>Proponer elementos del método científico (título, objetivos, problema, resultados, análisis, procedimientos o conclusiones) de forma adecuada.</v>
          </cell>
          <cell r="P13" t="str">
            <v>MEDIA</v>
          </cell>
          <cell r="R13" t="str">
            <v>Indagación</v>
          </cell>
          <cell r="T13" t="str">
            <v>Guía a los estudiantes en el diseño de un pequeño experimento o la formulación de una hipótesis relacionada con el proceso de indagación y los resultados, utilizando gráficas, tablas, ecuaciones aritméticas y algebraicas. Complementa pidiendo que registre el proceso en informes o gráficas claras, verificables por un tercero. Verifica que el estudiante formule preguntas y analice resultados propios, y no solo responda preguntas cerradas.</v>
          </cell>
        </row>
        <row r="14">
          <cell r="E14" t="str">
            <v>Desarrollo</v>
          </cell>
          <cell r="F14">
            <v>2</v>
          </cell>
          <cell r="H14">
            <v>6</v>
          </cell>
          <cell r="J14" t="str">
            <v>Aspectos fisicoquímicos de las mezclas</v>
          </cell>
          <cell r="L14" t="str">
            <v>Integrando las transformaciones de la materia con los cambios de las sustancias en la vida cotidiana.</v>
          </cell>
          <cell r="O14" t="str">
            <v>Explicar los factores que afectan la solubilidad.</v>
          </cell>
          <cell r="P14" t="str">
            <v>MEDIA</v>
          </cell>
          <cell r="R14" t="str">
            <v>Argumentación</v>
          </cell>
          <cell r="T14" t="str">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pueda juzgar la validez de una afirmación o de un modelo explicativo, y no solo describirlo.</v>
          </cell>
        </row>
        <row r="15">
          <cell r="E15" t="str">
            <v>Desarrollo</v>
          </cell>
          <cell r="F15">
            <v>3</v>
          </cell>
          <cell r="H15">
            <v>6</v>
          </cell>
          <cell r="J15" t="str">
            <v>Aspectos analíticos de las sustancias</v>
          </cell>
          <cell r="L15" t="str">
            <v>Evaluando descripciones, evidencias y explicaciones de la comunicación en el trabajo científico.</v>
          </cell>
          <cell r="O15" t="str">
            <v>Determinar algunas ecuaciones, modelos matemáticos o algoritmos que permiten encontrar regularidades o sacar conclusiones.</v>
          </cell>
          <cell r="P15" t="str">
            <v>ALTA</v>
          </cell>
          <cell r="R15" t="str">
            <v>Aplicación</v>
          </cell>
          <cell r="T15" t="str">
            <v>Realiza ejercicios prácticos guiados paso a paso sobre diferencias entre modelos, teorías, leyes e hipótesis, retroalimentando el procedimiento y no solo el resultado. Complementa pidiendo que distinga, en un mismo texto, qué es descripción, qué es evidencia y qué es explicación. Verifica que el estudiante formule preguntas y analice resultados propios, y no solo responda preguntas cerradas.</v>
          </cell>
        </row>
        <row r="16">
          <cell r="E16" t="str">
            <v>Desarrollo</v>
          </cell>
          <cell r="F16">
            <v>4</v>
          </cell>
          <cell r="H16">
            <v>6</v>
          </cell>
          <cell r="J16" t="str">
            <v>Aspectos analíticos de las mezclas</v>
          </cell>
          <cell r="L16" t="str">
            <v>Integrando las transformaciones de la materia con los cambios de las sustancias en la vida cotidiana.</v>
          </cell>
          <cell r="O16" t="str">
            <v>Identificar en gráficas o reacciones químicas el equilibrio químico.</v>
          </cell>
          <cell r="P16" t="str">
            <v>MEDIA</v>
          </cell>
          <cell r="R16" t="str">
            <v>Reconocimiento</v>
          </cell>
          <cell r="T16" t="str">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17">
          <cell r="E17" t="str">
            <v>Desarrollo</v>
          </cell>
          <cell r="F17">
            <v>5</v>
          </cell>
          <cell r="H17">
            <v>6</v>
          </cell>
          <cell r="J17" t="str">
            <v>Aspectos analíticos de las sustancias</v>
          </cell>
          <cell r="L17" t="str">
            <v>Integrando las transformaciones de la materia con los cambios de las sustancias en la vida cotidiana.</v>
          </cell>
          <cell r="O17" t="str">
            <v>Seleccionar cuál es la gráfica de equilibrio que describe un determinado proceso.</v>
          </cell>
          <cell r="P17" t="str">
            <v>ALTA</v>
          </cell>
          <cell r="R17" t="str">
            <v>Reconocimiento</v>
          </cell>
          <cell r="T17" t="str">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18">
          <cell r="E18" t="str">
            <v>Desarrollo</v>
          </cell>
          <cell r="F18">
            <v>6</v>
          </cell>
          <cell r="H18">
            <v>6</v>
          </cell>
          <cell r="J18" t="str">
            <v>Aspectos fisicoquímicos de las mezclas</v>
          </cell>
          <cell r="L18" t="str">
            <v>Integrando las transformaciones de la materia con los cambios de las sustancias en la vida cotidiana.</v>
          </cell>
          <cell r="O18" t="str">
            <v>Predecir la dirección de la reacción cuando se altera la temperatura, concentración o la presión.</v>
          </cell>
          <cell r="P18" t="str">
            <v>MEDIA</v>
          </cell>
          <cell r="R18" t="str">
            <v>Argumentación</v>
          </cell>
          <cell r="T18" t="str">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no se limite a repetir el concepto, sino que lo use para resolver un problema distinto al trabajado en clase.</v>
          </cell>
        </row>
        <row r="19">
          <cell r="E19" t="str">
            <v>Desarrollo</v>
          </cell>
          <cell r="F19">
            <v>7</v>
          </cell>
          <cell r="H19">
            <v>6</v>
          </cell>
          <cell r="J19" t="str">
            <v>Aspectos fisicoquímicos de las sustancias</v>
          </cell>
          <cell r="L19" t="str">
            <v>Comunicando el proceso de indagación en modelación científica.</v>
          </cell>
          <cell r="O19" t="str">
            <v>Identificar las partes de un informe de laboratorio.</v>
          </cell>
          <cell r="P19" t="str">
            <v>MEDIA</v>
          </cell>
          <cell r="R19" t="str">
            <v>Reconocimiento</v>
          </cell>
          <cell r="T19" t="str">
            <v>Presenta ejemplos y contraejemplos del proceso de indagación y los resultados, utilizando gráficas, tablas, ecuaciones aritméticas y algebraicas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20">
          <cell r="E20" t="str">
            <v>Desarrollo</v>
          </cell>
          <cell r="F20" t="str">
            <v>8</v>
          </cell>
          <cell r="H20">
            <v>6</v>
          </cell>
          <cell r="J20" t="str">
            <v>Aspectos fisicoquímicos de las sustancias</v>
          </cell>
          <cell r="L20" t="str">
            <v>Conectando teorías, leyes, afirmaciones y sus implicaciones en los sistemas fisicoquímicos.</v>
          </cell>
          <cell r="O20" t="str">
            <v>Razonar en situaciones como gráficas y tablas la acidez o basicidad de una sustancia, de acuerdo con diferentes escalas o referencias.</v>
          </cell>
          <cell r="P20" t="str">
            <v>BAJA</v>
          </cell>
          <cell r="R20" t="str">
            <v>Argumentación</v>
          </cell>
          <cell r="T20" t="str">
            <v>Propón situaciones en las que los estudiantes deban argumentar y sustentar con evidencia sus respuestas acerca de los modelos que sustentan la definición ácido-base. Complementa pidiendo que justifique cada afirmación citando la ley o el modelo teórico que la sustenta. Verifica que el estudiante pueda juzgar la validez de una afirmación o de un modelo explicativo, y no solo describirlo.</v>
          </cell>
        </row>
        <row r="21">
          <cell r="E21" t="str">
            <v>Desarrollo</v>
          </cell>
          <cell r="F21">
            <v>9</v>
          </cell>
          <cell r="H21">
            <v>6</v>
          </cell>
          <cell r="J21" t="str">
            <v>Aspectos fisicoquímicos de las sustancias</v>
          </cell>
          <cell r="L21" t="str">
            <v>Integrando las transformaciones de la materia con los cambios de las sustancias en la vida cotidiana.</v>
          </cell>
          <cell r="O21" t="str">
            <v>Reconocer que los cambios químicos se representan mediante ecuaciones.</v>
          </cell>
          <cell r="P21" t="str">
            <v>ALTA</v>
          </cell>
          <cell r="R21" t="str">
            <v>Reconocimiento</v>
          </cell>
          <cell r="T21" t="str">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22">
          <cell r="E22" t="str">
            <v>Desarrollo</v>
          </cell>
          <cell r="F22">
            <v>10</v>
          </cell>
          <cell r="H22">
            <v>6</v>
          </cell>
          <cell r="J22" t="str">
            <v>Aspectos analíticos de las mezclas</v>
          </cell>
          <cell r="L22" t="str">
            <v>Conectando teorías, leyes, afirmaciones y sus implicaciones en los sistemas fisicoquímicos.</v>
          </cell>
          <cell r="O22" t="str">
            <v>Razonar en situaciones como gráficas y tablas la acidez o basicidad de una sustancia, de acuerdo con diferentes escalas o referencias.</v>
          </cell>
          <cell r="P22" t="str">
            <v>BAJA</v>
          </cell>
          <cell r="R22" t="str">
            <v>Argumentación</v>
          </cell>
          <cell r="T22" t="str">
            <v>Propón situaciones en las que los estudiantes deban argumentar y sustentar con evidencia sus respuestas acerca de los modelos que sustentan la definición ácido-base. Complementa pidiendo que justifique cada afirmación citando la ley o el modelo teórico que la sustenta. Verifica que el estudiante pueda juzgar la validez de una afirmación o de un modelo explicativo, y no solo describirlo.</v>
          </cell>
        </row>
        <row r="23">
          <cell r="E23" t="str">
            <v>Desarrollo</v>
          </cell>
          <cell r="F23">
            <v>11</v>
          </cell>
          <cell r="H23">
            <v>6</v>
          </cell>
          <cell r="J23" t="str">
            <v>Aspectos analíticos de las mezclas</v>
          </cell>
          <cell r="L23" t="str">
            <v>Modelando y diseñando experiencias para reconocer las variables que permiten obtener resultados y conclusiones.</v>
          </cell>
          <cell r="O23" t="str">
            <v>Identificar la función de algunos instrumentos durante una investigación o experimento.</v>
          </cell>
          <cell r="P23" t="str">
            <v>MEDIA</v>
          </cell>
          <cell r="R23" t="str">
            <v>Reconocimiento</v>
          </cell>
          <cell r="T23" t="str">
            <v>Presenta ejemplos y contraejemplos de y realizo experimentos y verifico el efecto de modificar diversas variables para dar respuesta a preguntas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ell>
        </row>
        <row r="24">
          <cell r="E24" t="str">
            <v>Desarrollo</v>
          </cell>
          <cell r="F24">
            <v>12</v>
          </cell>
          <cell r="H24">
            <v>6</v>
          </cell>
          <cell r="J24" t="str">
            <v>Aspectos fisicoquímicos de las mezclas</v>
          </cell>
          <cell r="L24" t="str">
            <v>Conectando teorías, leyes, afirmaciones y sus implicaciones en los sistemas fisicoquímicos.</v>
          </cell>
          <cell r="O24" t="str">
            <v>Explicar en gráficas de titulación características de la fuerza de un ácido o una base, el papel de los indicadores y factores que afectan el equilibrio ácido-base.</v>
          </cell>
          <cell r="P24" t="str">
            <v>BAJA</v>
          </cell>
          <cell r="R24" t="str">
            <v>Argumentación</v>
          </cell>
          <cell r="T24" t="str">
            <v>Propón situaciones en las que los estudiantes deban argumentar y sustentar con evidencia sus respuestas acerca de los modelos que sustentan la definición ácido-base. Complementa pidiendo que justifique cada afirmación citando la ley o el modelo teórico que la sustenta. Verifica que el estudiante pueda juzgar la validez de una afirmación o de un modelo explicativo, y no solo describirlo.</v>
          </cell>
        </row>
        <row r="25">
          <cell r="E25" t="str">
            <v>Desarrollo</v>
          </cell>
          <cell r="F25">
            <v>13</v>
          </cell>
          <cell r="H25">
            <v>6</v>
          </cell>
          <cell r="J25" t="str">
            <v>Aspectos fisicoquímicos de las sustancias</v>
          </cell>
          <cell r="L25" t="str">
            <v>Generando explicaciones a preguntas e hipótesis acerca de la modelación científica.</v>
          </cell>
          <cell r="O25" t="str">
            <v>Explicar las relaciones entre las variables que determinan el comportamiento de un fenómeno.</v>
          </cell>
          <cell r="P25" t="str">
            <v>ALTA</v>
          </cell>
          <cell r="R25" t="str">
            <v>Argumentación</v>
          </cell>
          <cell r="T25" t="str">
            <v>Propón situaciones en las que los estudiantes deban argumentar y sustentar con evidencia sus respuestas acerca de mis respuestas con diversos argumentos. Complementa pidiendo que formule una hipótesis propia y la contraste con un resultado observado. Verifica que el estudiante formule preguntas y analice resultados propios, y no solo responda preguntas cerradas.</v>
          </cell>
        </row>
        <row r="26">
          <cell r="E26" t="str">
            <v>Desarrollo</v>
          </cell>
          <cell r="F26">
            <v>14</v>
          </cell>
          <cell r="H26">
            <v>6</v>
          </cell>
          <cell r="J26" t="str">
            <v>Aspectos fisicoquímicos de las sustancias</v>
          </cell>
          <cell r="L26" t="str">
            <v>Interactuando con las propiedades y clasificación de la materia en sistemas físicos, químicos y biológicos.</v>
          </cell>
          <cell r="O26" t="str">
            <v>Señalar los factores que influyen en la solubilidad y su velocidad, como la temperatura, la agitación, la naturaleza del soluto y del disolvente, el tamaño, entre otros.</v>
          </cell>
          <cell r="P26" t="str">
            <v>ALTA</v>
          </cell>
          <cell r="R26" t="str">
            <v>Reconocimiento</v>
          </cell>
          <cell r="T26" t="str">
            <v>Presenta ejemplos y contraejemplos de relaciones cuantitativas entre los componentes de una solución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ell>
        </row>
        <row r="27">
          <cell r="E27" t="str">
            <v>Desarrollo</v>
          </cell>
          <cell r="F27">
            <v>15</v>
          </cell>
          <cell r="H27">
            <v>6</v>
          </cell>
          <cell r="J27" t="str">
            <v>Aspectos analíticos de las mezclas</v>
          </cell>
          <cell r="L27" t="str">
            <v>Integrando las transformaciones de la materia con los cambios de las sustancias en la vida cotidiana.</v>
          </cell>
          <cell r="O27" t="str">
            <v>Identificar que sustancia se solubiliza a determinadas condiciones.</v>
          </cell>
          <cell r="P27" t="str">
            <v>BAJA</v>
          </cell>
          <cell r="R27" t="str">
            <v>Reconocimiento</v>
          </cell>
          <cell r="T27" t="str">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28">
          <cell r="E28" t="str">
            <v>Aplico</v>
          </cell>
          <cell r="F28" t="str">
            <v>1</v>
          </cell>
          <cell r="H28">
            <v>6</v>
          </cell>
          <cell r="J28" t="str">
            <v>Aspectos analíticos de las sustancias</v>
          </cell>
          <cell r="L28" t="str">
            <v>Integrando las transformaciones de la materia con los cambios de las sustancias en la vida cotidiana.</v>
          </cell>
          <cell r="O28" t="str">
            <v>Determinar cual factor influye en mayor o menor proporción en la solubilidad en determinados procesos, gráficas o contextos.</v>
          </cell>
          <cell r="P28" t="str">
            <v>ALTA</v>
          </cell>
          <cell r="R28" t="str">
            <v>Aplicación</v>
          </cell>
          <cell r="T28" t="str">
            <v>Realiza ejercicios prácticos guiados paso a paso sobre cambios químicos en condiciones de equilibrio,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ell>
        </row>
        <row r="29">
          <cell r="E29" t="str">
            <v>Aplico</v>
          </cell>
          <cell r="F29" t="str">
            <v>2</v>
          </cell>
          <cell r="H29">
            <v>6</v>
          </cell>
          <cell r="J29" t="str">
            <v>Aspectos analíticos de las sustancias</v>
          </cell>
          <cell r="L29" t="str">
            <v>Integrando las transformaciones de la materia con los cambios de las sustancias en la vida cotidiana.</v>
          </cell>
          <cell r="O29" t="str">
            <v>Reconocer las características y los componentes de una disolución.</v>
          </cell>
          <cell r="P29" t="str">
            <v>BAJA</v>
          </cell>
          <cell r="R29" t="str">
            <v>Reconocimiento</v>
          </cell>
          <cell r="T29" t="str">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30">
          <cell r="E30" t="str">
            <v>Aplico</v>
          </cell>
          <cell r="F30" t="str">
            <v>3</v>
          </cell>
          <cell r="H30">
            <v>6</v>
          </cell>
          <cell r="J30" t="str">
            <v>Aspectos fisicoquímicos de las mezclas</v>
          </cell>
          <cell r="L30" t="str">
            <v>Modelando y diseñando experiencias para reconocer las variables que permiten obtener resultados y conclusiones.</v>
          </cell>
          <cell r="O30" t="str">
            <v>Identificar a partir de graficas, tablas o modelos cuál y cómo la variable afecta dicho experimento.</v>
          </cell>
          <cell r="P30" t="str">
            <v>MEDIA</v>
          </cell>
          <cell r="R30" t="str">
            <v>Reconocimiento</v>
          </cell>
          <cell r="T30" t="str">
            <v>Presenta ejemplos y contraejemplos de relaciones causales y multicausales entre los datos recopilados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ell>
        </row>
      </sheetData>
      <sheetData sheetId="6">
        <row r="3">
          <cell r="E3" t="str">
            <v xml:space="preserve">Exploro </v>
          </cell>
          <cell r="F3" t="str">
            <v>1</v>
          </cell>
          <cell r="H3">
            <v>6</v>
          </cell>
          <cell r="J3" t="str">
            <v>Social</v>
          </cell>
          <cell r="L3" t="str">
            <v>Considerando la importancia de los hábitos saludables en el cuidado del cuerpo.</v>
          </cell>
          <cell r="O3" t="str">
            <v>Identificar la importancia de emplear los antibióticos según las recomendaciones médicas.</v>
          </cell>
          <cell r="P3" t="str">
            <v>BAJA</v>
          </cell>
          <cell r="R3" t="str">
            <v>Reconocimiento</v>
          </cell>
          <cell r="T3" t="str">
            <v>Presenta ejemplos y contraejemplos del funcionamiento de algún antibiótico y reconozco la importancia de su uso correcto y pide a los estudiantes que los clasifiquen, antes de avanzar a preguntas más complejas. Complementa con casos cotidianos de autocuidado que el estudiante deba justificar con criterios científicos. Verifica que el estudiante no se limite a repetir el concepto, sino que lo use para resolver un problema distinto al trabajado en clase.</v>
          </cell>
        </row>
        <row r="4">
          <cell r="E4" t="str">
            <v xml:space="preserve">Exploro </v>
          </cell>
          <cell r="F4">
            <v>2</v>
          </cell>
          <cell r="H4">
            <v>6</v>
          </cell>
          <cell r="J4" t="str">
            <v>Ciencia</v>
          </cell>
          <cell r="L4" t="str">
            <v>Pensando en los procesos de conservación y mejoramiento del medioambiente.</v>
          </cell>
          <cell r="O4" t="str">
            <v>Reconocer cuáles son las nuevas tecnologías limpias.</v>
          </cell>
          <cell r="P4" t="str">
            <v>MEDIA</v>
          </cell>
          <cell r="R4" t="str">
            <v>Reconocimiento</v>
          </cell>
          <cell r="T4" t="str">
            <v>Presenta ejemplos y contraejemplos del potencial de los recursos naturales en la obtención de energía para diferentes usos y pide a los estudiantes que los clasifiquen, antes de avanzar a preguntas más complejas. Complementa con un problema ambiental local que el estudiante deba resolver con criterios científicos. Verifica que el estudiante no se limite a repetir el concepto, sino que lo use para resolver un problema distinto al trabajado en clase.</v>
          </cell>
        </row>
        <row r="5">
          <cell r="E5" t="str">
            <v xml:space="preserve">Exploro </v>
          </cell>
          <cell r="F5">
            <v>3</v>
          </cell>
          <cell r="H5">
            <v>6</v>
          </cell>
          <cell r="J5" t="str">
            <v>Ciencia</v>
          </cell>
          <cell r="L5" t="str">
            <v>Pensando en los procesos de conservación y mejoramiento del medioambiente.</v>
          </cell>
          <cell r="O5" t="str">
            <v>Identificar el desarrollo de nuevas tecnologías limpias.</v>
          </cell>
          <cell r="P5" t="str">
            <v>BAJA</v>
          </cell>
          <cell r="R5" t="str">
            <v>Reconocimiento</v>
          </cell>
          <cell r="T5" t="str">
            <v>Presenta ejemplos y contraejemplos del potencial de los recursos naturales en la obtención de energía para diferentes usos y pide a los estudiantes que los clasifiquen, antes de avanzar a preguntas más complejas. Complementa con un problema ambiental local que el estudiante deba resolver con criterios científicos. Verifica que el estudiante no se limite a repetir el concepto, sino que lo use para resolver un problema distinto al trabajado en clase.</v>
          </cell>
        </row>
        <row r="6">
          <cell r="E6" t="str">
            <v xml:space="preserve">Exploro </v>
          </cell>
          <cell r="F6" t="str">
            <v>4</v>
          </cell>
          <cell r="H6">
            <v>6</v>
          </cell>
          <cell r="J6" t="str">
            <v>Ambiental</v>
          </cell>
          <cell r="L6" t="str">
            <v>Pensando en los procesos de conservación y mejoramiento del medioambiente.</v>
          </cell>
          <cell r="O6" t="str">
            <v>Explicar como las nuevas tecnologías reducen la contaminación, recursos o utilizan diferentes tipos de energía más limpias y seguras.</v>
          </cell>
          <cell r="P6" t="str">
            <v>ALTA</v>
          </cell>
          <cell r="R6" t="str">
            <v>Argumentación</v>
          </cell>
          <cell r="T6" t="str">
            <v>Propón situaciones en las que los estudiantes deban argumentar y sustentar con evidencia sus respuestas acerca del potencial de los recursos naturales en la obtención de energía para diferentes usos. Complementa con un problema ambiental local que el estudiante deba resolver con criterios científicos. Verifica que el estudiante pueda juzgar la validez de una afirmación o de un modelo explicativo, y no solo describirlo.</v>
          </cell>
        </row>
        <row r="7">
          <cell r="E7" t="str">
            <v xml:space="preserve">Exploro </v>
          </cell>
          <cell r="F7">
            <v>5</v>
          </cell>
          <cell r="H7">
            <v>6</v>
          </cell>
          <cell r="J7" t="str">
            <v>Ambiental</v>
          </cell>
          <cell r="L7" t="str">
            <v>Pensando en los procesos de conservación y mejoramiento del medioambiente.</v>
          </cell>
          <cell r="O7" t="str">
            <v>Argumentar las aplicaciones de las nuevas tecnologías.</v>
          </cell>
          <cell r="P7" t="str">
            <v>BAJA</v>
          </cell>
          <cell r="R7" t="str">
            <v>Argumentación</v>
          </cell>
          <cell r="T7" t="str">
            <v>Propón situaciones en las que los estudiantes deban argumentar y sustentar con evidencia sus respuestas acerca del potencial de los recursos naturales en la obtención de energía para diferentes usos. Complementa con un problema ambiental local que el estudiante deba resolver con criterios científicos. Verifica que el estudiante pueda juzgar la validez de una afirmación o de un modelo explicativo, y no solo describirlo.</v>
          </cell>
        </row>
        <row r="8">
          <cell r="E8" t="str">
            <v xml:space="preserve">Exploro </v>
          </cell>
          <cell r="F8">
            <v>6</v>
          </cell>
          <cell r="H8">
            <v>6</v>
          </cell>
          <cell r="J8" t="str">
            <v>Ambiental</v>
          </cell>
          <cell r="L8" t="str">
            <v>Pensando en los procesos de conservación y mejoramiento del medioambiente.</v>
          </cell>
          <cell r="O8" t="str">
            <v>Relacionar el calentamiento global con algunas de sus consecuencias.</v>
          </cell>
          <cell r="P8" t="str">
            <v>MEDIA</v>
          </cell>
          <cell r="R8" t="str">
            <v>Análisis</v>
          </cell>
          <cell r="T8" t="str">
            <v>Proporciona ejemplos concretos del potencial de los recursos naturales en la obtención de energía para diferentes usos y guía a los estudiantes para que comparen semejanzas y diferencias con un cuadro comparativo. Complementa con un problema ambiental local que el estudiante deba resolver con criterios científicos. Verifica que el estudiante no se limite a repetir el concepto, sino que lo use para resolver un problema distinto al trabajado en clase.</v>
          </cell>
        </row>
        <row r="9">
          <cell r="E9" t="str">
            <v xml:space="preserve">Exploro </v>
          </cell>
          <cell r="F9" t="str">
            <v>7</v>
          </cell>
          <cell r="H9">
            <v>6</v>
          </cell>
          <cell r="J9" t="str">
            <v>Ciencia</v>
          </cell>
          <cell r="L9" t="str">
            <v>Pensando en los procesos de conservación y mejoramiento del medioambiente.</v>
          </cell>
          <cell r="O9" t="str">
            <v>Identificar la aplicación de los cambios químicos en la industria.</v>
          </cell>
          <cell r="P9" t="str">
            <v>BAJA</v>
          </cell>
          <cell r="R9" t="str">
            <v>Reconocimiento</v>
          </cell>
          <cell r="T9" t="str">
            <v>Presenta ejemplos y contraejemplos de cambios químicos en la cocina, la industria y el ambiente y pide a los estudiantes que los clasifiquen, antes de avanzar a preguntas más complejas. Complementa con un problema ambiental local que el estudiante deba resolver con criterios científicos. Verifica que el estudiante no se limite a repetir el concepto, sino que lo use para resolver un problema distinto al trabajado en clase.</v>
          </cell>
        </row>
        <row r="10">
          <cell r="E10" t="str">
            <v xml:space="preserve">Exploro </v>
          </cell>
          <cell r="F10">
            <v>8</v>
          </cell>
          <cell r="H10">
            <v>6</v>
          </cell>
          <cell r="J10" t="str">
            <v>Social</v>
          </cell>
          <cell r="L10" t="str">
            <v>Considerando la importancia de los hábitos saludables en el cuidado del cuerpo.</v>
          </cell>
          <cell r="O10" t="str">
            <v>Explicar la relación entre el tabaquismo y salud mental.</v>
          </cell>
          <cell r="P10" t="str">
            <v>BAJA</v>
          </cell>
          <cell r="R10" t="str">
            <v>Argumentación</v>
          </cell>
          <cell r="T10" t="str">
            <v>Propón situaciones en las que los estudiantes deban argumentar y sustentar con evidencia sus respuestas acerca de relaciones entre el deporte y la salud física y mental. Complementa con casos cotidianos de autocuidado que el estudiante deba justificar con criterios científicos. Verifica que el estudiante pueda juzgar la validez de una afirmación o de un modelo explicativo, y no solo describirlo.</v>
          </cell>
        </row>
        <row r="11">
          <cell r="E11" t="str">
            <v xml:space="preserve">Exploro </v>
          </cell>
          <cell r="F11">
            <v>9</v>
          </cell>
          <cell r="H11">
            <v>6</v>
          </cell>
          <cell r="J11" t="str">
            <v>Social</v>
          </cell>
          <cell r="L11" t="str">
            <v>Considerando la importancia de los hábitos saludables en el cuidado del cuerpo.</v>
          </cell>
          <cell r="O11" t="str">
            <v>Identificar la importancia de evitar el consumo de tabaco.</v>
          </cell>
          <cell r="P11" t="str">
            <v>ALTA</v>
          </cell>
          <cell r="R11" t="str">
            <v>Reconocimiento</v>
          </cell>
          <cell r="T11" t="str">
            <v>Presenta ejemplos y contraejemplos de relaciones entre el deporte y la salud física y mental y pide a los estudiantes que los clasifiquen, antes de avanzar a preguntas más complejas. Complementa con casos cotidianos de autocuidado que el estudiante deba justificar con criterios científicos. Verifica que el estudiante pueda juzgar la validez de una afirmación o de un modelo explicativo, y no solo describirlo.</v>
          </cell>
        </row>
        <row r="12">
          <cell r="E12" t="str">
            <v xml:space="preserve">Exploro </v>
          </cell>
          <cell r="F12" t="str">
            <v>10</v>
          </cell>
          <cell r="H12">
            <v>6</v>
          </cell>
          <cell r="J12" t="str">
            <v>Ambiental</v>
          </cell>
          <cell r="L12" t="str">
            <v>Pensando en los procesos de conservación y mejoramiento del medioambiente.</v>
          </cell>
          <cell r="O12" t="str">
            <v>Reconocer las problemáticas ambientales, industriales o cotidianas de los cambios químicos.</v>
          </cell>
          <cell r="P12" t="str">
            <v>BAJA</v>
          </cell>
          <cell r="R12" t="str">
            <v>Reconocimiento</v>
          </cell>
          <cell r="T12" t="str">
            <v>Presenta ejemplos y contraejemplos de cambios químicos en la cocina, la industria y el ambiente y pide a los estudiantes que los clasifiquen, antes de avanzar a preguntas más complejas. Complementa con un problema ambiental local que el estudiante deba resolver con criterios científicos. Verifica que el estudiante no se limite a repetir el concepto, sino que lo use para resolver un problema distinto al trabajado en clase.</v>
          </cell>
        </row>
        <row r="13">
          <cell r="E13" t="str">
            <v>Desarrollo</v>
          </cell>
          <cell r="F13">
            <v>1</v>
          </cell>
          <cell r="H13">
            <v>6</v>
          </cell>
          <cell r="J13" t="str">
            <v>Ambiental</v>
          </cell>
          <cell r="L13" t="str">
            <v>Considerando la importancia de los hábitos saludables en el cuidado del cuerpo.</v>
          </cell>
          <cell r="O13" t="str">
            <v>Identificar estrategias que promuevan la salud pública.</v>
          </cell>
          <cell r="P13" t="str">
            <v>BAJA</v>
          </cell>
          <cell r="R13" t="str">
            <v>Reconocimiento</v>
          </cell>
          <cell r="T13" t="str">
            <v>Presenta ejemplos y contraejemplos de relaciones entre el deporte y la salud física y mental y pide a los estudiantes que los clasifiquen, antes de avanzar a preguntas más complejas. Complementa con casos cotidianos de autocuidado que el estudiante deba justificar con criterios científicos. Verifica que el estudiante no se limite a repetir el concepto, sino que lo use para resolver un problema distinto al trabajado en clase.</v>
          </cell>
        </row>
        <row r="14">
          <cell r="E14" t="str">
            <v>Desarrollo</v>
          </cell>
          <cell r="F14">
            <v>2</v>
          </cell>
          <cell r="H14">
            <v>6</v>
          </cell>
          <cell r="J14" t="str">
            <v>Ciencia</v>
          </cell>
          <cell r="L14" t="str">
            <v>Pensando en los procesos de conservación y mejoramiento del medioambiente.</v>
          </cell>
          <cell r="O14" t="str">
            <v>Identificar equipos que utilizan recursos naturales para su funcionamiento.</v>
          </cell>
          <cell r="P14" t="str">
            <v>BAJA</v>
          </cell>
          <cell r="R14" t="str">
            <v>Reconocimiento</v>
          </cell>
          <cell r="T14" t="str">
            <v>Presenta ejemplos y contraejemplos del potencial de los recursos naturales en la obtención de energía para diferentes usos y pide a los estudiantes que los clasifiquen, antes de avanzar a preguntas más complejas. Complementa con un problema ambiental local que el estudiante deba resolver con criterios científicos. Verifica que el estudiante no se limite a repetir el concepto, sino que lo use para resolver un problema distinto al trabajado en clase.</v>
          </cell>
        </row>
        <row r="15">
          <cell r="E15" t="str">
            <v>Desarrollo</v>
          </cell>
          <cell r="F15">
            <v>3</v>
          </cell>
          <cell r="H15">
            <v>6</v>
          </cell>
          <cell r="J15" t="str">
            <v>Ciencia</v>
          </cell>
          <cell r="L15" t="str">
            <v>Integrando los avances tecnológicos y el desarrollo científico en la sociedad.</v>
          </cell>
          <cell r="O15" t="str">
            <v>Identificar máquinas modernas que pueden cumplir con funciones hechas por los hombres en la antiguedad.</v>
          </cell>
          <cell r="P15" t="str">
            <v>BAJA</v>
          </cell>
          <cell r="R15" t="str">
            <v>Reconocimiento</v>
          </cell>
          <cell r="T15" t="str">
            <v>Presenta ejemplos y contraejemplos de aplicaciones tecnológicas del modelo de mecánica de fluidos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ell>
        </row>
        <row r="16">
          <cell r="E16" t="str">
            <v>Desarrollo</v>
          </cell>
          <cell r="F16">
            <v>4</v>
          </cell>
          <cell r="H16">
            <v>6</v>
          </cell>
          <cell r="J16" t="str">
            <v>Ciencia</v>
          </cell>
          <cell r="L16" t="str">
            <v>Integrando los avances tecnológicos y el desarrollo científico en la sociedad.</v>
          </cell>
          <cell r="O16" t="str">
            <v>Explicar ventajas y/o desventajas de la manipulación genética.</v>
          </cell>
          <cell r="P16" t="str">
            <v>BAJA</v>
          </cell>
          <cell r="R16" t="str">
            <v>Argumentación</v>
          </cell>
          <cell r="T16" t="str">
            <v>Propón situaciones en las que los estudiantes deban argumentar y sustentar con evidencia sus respuestas acerca de la utilidad de microorganismos en la industria alimenticia. Complementa con un debate corto sobre ventajas y riesgos de un desarrollo tecnológico concreto. Verifica que el estudiante pueda juzgar la validez de una afirmación o de un modelo explicativo, y no solo describirlo.</v>
          </cell>
        </row>
        <row r="17">
          <cell r="E17" t="str">
            <v>Desarrollo</v>
          </cell>
          <cell r="F17">
            <v>5</v>
          </cell>
          <cell r="H17">
            <v>6</v>
          </cell>
          <cell r="J17" t="str">
            <v>Ciencia</v>
          </cell>
          <cell r="L17" t="str">
            <v>Integrando los avances tecnológicos y el desarrollo científico en la sociedad.</v>
          </cell>
          <cell r="O17" t="str">
            <v>Explicar desventajas en el ecosistema de la manipulación genética de organismos.</v>
          </cell>
          <cell r="P17" t="str">
            <v>BAJA</v>
          </cell>
          <cell r="R17" t="str">
            <v>Argumentación</v>
          </cell>
          <cell r="T17" t="str">
            <v>Propón situaciones en las que los estudiantes deban argumentar y sustentar con evidencia sus respuestas acerca de la utilidad de microorganismos en la industria alimenticia. Complementa con un debate corto sobre ventajas y riesgos de un desarrollo tecnológico concreto. Verifica que el estudiante pueda juzgar la validez de una afirmación o de un modelo explicativo, y no solo describirlo.</v>
          </cell>
        </row>
        <row r="18">
          <cell r="E18" t="str">
            <v>Desarrollo</v>
          </cell>
          <cell r="F18">
            <v>6</v>
          </cell>
          <cell r="H18">
            <v>6</v>
          </cell>
          <cell r="J18" t="str">
            <v>Ciencia</v>
          </cell>
          <cell r="L18" t="str">
            <v>Integrando los avances tecnológicos y el desarrollo científico en la sociedad.</v>
          </cell>
          <cell r="O18" t="str">
            <v>Explicar aspectos relevantes de los componentes empleados en técnicas de manipulación genética.</v>
          </cell>
          <cell r="P18" t="str">
            <v>BAJA</v>
          </cell>
          <cell r="R18" t="str">
            <v>Argumentación</v>
          </cell>
          <cell r="T18" t="str">
            <v>Propón situaciones en las que los estudiantes deban argumentar y sustentar con evidencia sus respuestas acerca de la utilidad de microorganismos en la industria alimenticia. Complementa con un debate corto sobre ventajas y riesgos de un desarrollo tecnológico concreto. Verifica que el estudiante pueda juzgar la validez de una afirmación o de un modelo explicativo, y no solo describirlo.</v>
          </cell>
        </row>
        <row r="19">
          <cell r="E19" t="str">
            <v>Desarrollo</v>
          </cell>
          <cell r="F19">
            <v>7</v>
          </cell>
          <cell r="H19">
            <v>6</v>
          </cell>
          <cell r="J19" t="str">
            <v>Ciencia</v>
          </cell>
          <cell r="L19" t="str">
            <v>Integrando los avances tecnológicos y el desarrollo científico en la sociedad.</v>
          </cell>
          <cell r="O19" t="str">
            <v>Explicar la importancia en la vida cotidiana de las partes de un circuito eléctrico.</v>
          </cell>
          <cell r="P19" t="str">
            <v>BAJA</v>
          </cell>
          <cell r="R19" t="str">
            <v>Argumentación</v>
          </cell>
          <cell r="T19" t="str">
            <v>Propón situaciones en las que los estudiantes deban argumentar y sustentar con evidencia sus respuestas acerca del desarrollo de los componentes de los circuitos eléctricos y su impacto en la vida diaria. Complementa con un debate corto sobre ventajas y riesgos de un desarrollo tecnológico concreto. Verifica que el estudiante pueda juzgar la validez de una afirmación o de un modelo explicativo, y no solo describirlo.</v>
          </cell>
        </row>
        <row r="20">
          <cell r="E20" t="str">
            <v>Desarrollo</v>
          </cell>
          <cell r="F20" t="str">
            <v>8</v>
          </cell>
          <cell r="H20">
            <v>6</v>
          </cell>
          <cell r="J20" t="str">
            <v>Ciencia</v>
          </cell>
          <cell r="L20" t="str">
            <v>Integrando los avances tecnológicos y el desarrollo científico en la sociedad.</v>
          </cell>
          <cell r="O20" t="str">
            <v>Explicar el uso de diferentes equipos que permiten la exploración del universo.</v>
          </cell>
          <cell r="P20" t="str">
            <v>BAJA</v>
          </cell>
          <cell r="R20" t="str">
            <v>Argumentación</v>
          </cell>
          <cell r="T20" t="str">
            <v>Propón situaciones en las que los estudiantes deban argumentar y sustentar con evidencia sus respuestas acerca de sobre los adelantos científicos y tecnológicos que han hecho posible la exploración del universo. Complementa con un debate corto sobre ventajas y riesgos de un desarrollo tecnológico concreto. Verifica que el estudiante pueda juzgar la validez de una afirmación o de un modelo explicativo, y no solo describirlo.</v>
          </cell>
        </row>
        <row r="21">
          <cell r="E21" t="str">
            <v>Desarrollo</v>
          </cell>
          <cell r="F21">
            <v>9</v>
          </cell>
          <cell r="H21">
            <v>6</v>
          </cell>
          <cell r="J21" t="str">
            <v>Social</v>
          </cell>
          <cell r="L21" t="str">
            <v>Modelando y diseñando experiencias para reconocer las variables que permiten obtener resultados y conclusiones.</v>
          </cell>
          <cell r="O21" t="str">
            <v>Reconocer la incidencia de los factores tecnológicos en los procesos industriales.</v>
          </cell>
          <cell r="P21" t="str">
            <v>BAJA</v>
          </cell>
          <cell r="R21" t="str">
            <v>Reconocimiento</v>
          </cell>
          <cell r="T21" t="str">
            <v>Presenta ejemplos y contraejemplos de relaciones causales y multicausales entre los datos recopilados y pide a los estudiantes que los clasifiquen, antes de avanzar a preguntas más complejas. Complementa pidiendo que identifique la variable independiente, la dependiente y la de control en un montaje sencillo. Verifica que el estudiante pueda juzgar la validez de una afirmación o de un modelo explicativo, y no solo describirlo.</v>
          </cell>
        </row>
        <row r="22">
          <cell r="E22" t="str">
            <v>Desarrollo</v>
          </cell>
          <cell r="F22">
            <v>10</v>
          </cell>
          <cell r="H22">
            <v>6</v>
          </cell>
          <cell r="J22" t="str">
            <v>Social</v>
          </cell>
          <cell r="L22" t="str">
            <v>Integrando los avances tecnológicos y el desarrollo científico en la sociedad.</v>
          </cell>
          <cell r="O22" t="str">
            <v>Explicar cuándo un modelo, estudio o una herramienta se considera un avance científico.</v>
          </cell>
          <cell r="P22" t="str">
            <v>BAJA</v>
          </cell>
          <cell r="R22" t="str">
            <v>Argumentación</v>
          </cell>
          <cell r="T22" t="str">
            <v>Propón situaciones en las que los estudiantes deban argumentar y sustentar con evidencia sus respuestas acerca de tecnologías desarrolladas en Colombia. Complementa con un debate corto sobre ventajas y riesgos de un desarrollo tecnológico concreto. Verifica que el estudiante pueda juzgar la validez de una afirmación o de un modelo explicativo, y no solo describirlo.</v>
          </cell>
        </row>
        <row r="23">
          <cell r="E23" t="str">
            <v>Desarrollo</v>
          </cell>
          <cell r="F23">
            <v>11</v>
          </cell>
          <cell r="H23">
            <v>6</v>
          </cell>
          <cell r="J23" t="str">
            <v>Social</v>
          </cell>
          <cell r="L23" t="str">
            <v>Considerando la importancia de los hábitos saludables en el cuidado del cuerpo.</v>
          </cell>
          <cell r="O23" t="str">
            <v>Explicar los efectos nocivos para el ambiente de algunos de los componentes de los circuitos eléctricos.</v>
          </cell>
          <cell r="P23" t="str">
            <v>BAJA</v>
          </cell>
          <cell r="R23" t="str">
            <v>Argumentación</v>
          </cell>
          <cell r="T23" t="str">
            <v>Propón situaciones en las que los estudiantes deban argumentar y sustentar con evidencia sus respuestas acerca de y explico medidas de prevención del embarazo y de las enfermedades de transmisión sexual. Complementa con casos cotidianos de autocuidado que el estudiante deba justificar con criterios científicos. Verifica que el estudiante pueda juzgar la validez de una afirmación o de un modelo explicativo, y no solo describirlo.</v>
          </cell>
        </row>
        <row r="24">
          <cell r="E24" t="str">
            <v>Desarrollo</v>
          </cell>
          <cell r="F24">
            <v>12</v>
          </cell>
          <cell r="H24">
            <v>6</v>
          </cell>
          <cell r="J24" t="str">
            <v>Ciencia</v>
          </cell>
          <cell r="L24" t="str">
            <v>Integrando los avances tecnológicos y el desarrollo científico en la sociedad.</v>
          </cell>
          <cell r="O24" t="str">
            <v>Identificar las ventajas de los organismos manipulados genéticamente en la industria agrícola.</v>
          </cell>
          <cell r="P24" t="str">
            <v>BAJA</v>
          </cell>
          <cell r="R24" t="str">
            <v>Reconocimiento</v>
          </cell>
          <cell r="T24" t="str">
            <v>Presenta ejemplos y contraejemplos de las ventajas y desventajas de la manipulación genética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ell>
        </row>
        <row r="25">
          <cell r="E25" t="str">
            <v>Desarrollo</v>
          </cell>
          <cell r="F25">
            <v>13</v>
          </cell>
          <cell r="H25">
            <v>6</v>
          </cell>
          <cell r="J25" t="str">
            <v>Ciencia</v>
          </cell>
          <cell r="L25" t="str">
            <v>Integrando los avances tecnológicos y el desarrollo científico en la sociedad.</v>
          </cell>
          <cell r="O25" t="str">
            <v>Identificar usos de tecnologías que empleen el ADN en la modificación de características en los seres vivos.</v>
          </cell>
          <cell r="P25" t="str">
            <v>BAJA</v>
          </cell>
          <cell r="R25" t="str">
            <v>Reconocimiento</v>
          </cell>
          <cell r="T25" t="str">
            <v>Presenta ejemplos y contraejemplos de las ventajas y desventajas de la manipulación genética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ell>
        </row>
        <row r="26">
          <cell r="E26" t="str">
            <v>Desarrollo</v>
          </cell>
          <cell r="F26">
            <v>14</v>
          </cell>
          <cell r="H26">
            <v>6</v>
          </cell>
          <cell r="J26" t="str">
            <v>Ciencia</v>
          </cell>
          <cell r="L26" t="str">
            <v>Integrando los avances tecnológicos y el desarrollo científico en la sociedad.</v>
          </cell>
          <cell r="O26" t="str">
            <v>Identificar ventajas y/o desventajas de la manipulación genética.</v>
          </cell>
          <cell r="P26" t="str">
            <v>BAJA</v>
          </cell>
          <cell r="R26" t="str">
            <v>Reconocimiento</v>
          </cell>
          <cell r="T26" t="str">
            <v>Presenta ejemplos y contraejemplos de las ventajas y desventajas de la manipulación genética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ell>
        </row>
        <row r="27">
          <cell r="E27" t="str">
            <v>Desarrollo</v>
          </cell>
          <cell r="F27">
            <v>15</v>
          </cell>
          <cell r="H27">
            <v>6</v>
          </cell>
          <cell r="J27" t="str">
            <v>Ciencia</v>
          </cell>
          <cell r="L27" t="str">
            <v>Integrando los avances tecnológicos y el desarrollo científico en la sociedad.</v>
          </cell>
          <cell r="O27" t="str">
            <v>Reconocer el pH de sustancias cotidianas.</v>
          </cell>
          <cell r="P27" t="str">
            <v>BAJA</v>
          </cell>
          <cell r="R27" t="str">
            <v>Reconocimiento</v>
          </cell>
          <cell r="T27" t="str">
            <v>Presenta ejemplos y contraejemplos de productos que pueden tener diferentes niveles de pH y explico algunos de sus usos en actividades cotidianas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ell>
        </row>
        <row r="28">
          <cell r="E28" t="str">
            <v>Aplico</v>
          </cell>
          <cell r="F28" t="str">
            <v>1</v>
          </cell>
          <cell r="H28" t="str">
            <v>6</v>
          </cell>
          <cell r="J28" t="str">
            <v>Ciencia</v>
          </cell>
          <cell r="L28" t="str">
            <v>Integrando los avances tecnológicos y el desarrollo científico en la sociedad.</v>
          </cell>
          <cell r="O28" t="str">
            <v>Clasificar la imagen de una etiqueta de un producto químico con su respectiva información.</v>
          </cell>
          <cell r="P28" t="str">
            <v>BAJA</v>
          </cell>
          <cell r="R28" t="str">
            <v>Reconocimiento</v>
          </cell>
          <cell r="T28" t="str">
            <v>Presenta ejemplos y contraejemplos de información química de las etiquetas de productos manufacturados por diferentes casas comerciales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ell>
        </row>
        <row r="29">
          <cell r="E29" t="str">
            <v>Aplico</v>
          </cell>
          <cell r="F29" t="str">
            <v>2</v>
          </cell>
          <cell r="H29" t="str">
            <v>6</v>
          </cell>
          <cell r="J29" t="str">
            <v>Ciencia</v>
          </cell>
          <cell r="L29" t="str">
            <v>Integrando los avances tecnológicos y el desarrollo científico en la sociedad.</v>
          </cell>
          <cell r="O29" t="str">
            <v>Identificar qué información ofrecen las etiquetas de productos químicos.</v>
          </cell>
          <cell r="P29" t="str">
            <v>BAJA</v>
          </cell>
          <cell r="R29" t="str">
            <v>Reconocimiento</v>
          </cell>
          <cell r="T29" t="str">
            <v>Presenta ejemplos y contraejemplos de información química de las etiquetas de productos manufacturados por diferentes casas comerciales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ell>
        </row>
        <row r="30">
          <cell r="E30" t="str">
            <v>Aplico</v>
          </cell>
          <cell r="F30" t="str">
            <v>3</v>
          </cell>
          <cell r="H30" t="str">
            <v>6</v>
          </cell>
          <cell r="J30" t="str">
            <v>Ciencia</v>
          </cell>
          <cell r="L30" t="str">
            <v>Integrando los avances tecnológicos y el desarrollo científico en la sociedad.</v>
          </cell>
          <cell r="O30" t="str">
            <v>Comprender artículos o equipos donde se evidencie el carácter ondulatorio de la luz.</v>
          </cell>
          <cell r="P30" t="str">
            <v>BAJA</v>
          </cell>
          <cell r="R30" t="str">
            <v>Comprensión</v>
          </cell>
          <cell r="T30" t="str">
            <v>Pide a los estudiantes que expliquen con sus propias palabras aplicaciones de los diferentes modelos de la luz, verificando que usen correctamente el lenguaje científico. Complementa con un debate corto sobre ventajas y riesgos de un desarrollo tecnológico concreto. Verifica que el estudiante no se limite a repetir el concepto, sino que lo use para resolver un problema distinto al trabajado en clase.</v>
          </cell>
        </row>
      </sheetData>
      <sheetData sheetId="7">
        <row r="3">
          <cell r="E3" t="str">
            <v xml:space="preserve">Exploro </v>
          </cell>
          <cell r="F3" t="str">
            <v>1</v>
          </cell>
          <cell r="H3">
            <v>6</v>
          </cell>
          <cell r="J3" t="str">
            <v>Aspectos analíticos de las sustancias</v>
          </cell>
          <cell r="L3" t="str">
            <v>Comunicando el proceso de indagación en modelación científica.</v>
          </cell>
          <cell r="O3" t="str">
            <v>Establecer a partir de resultados, tablas, gráficas y procedimientos, conclusiones.</v>
          </cell>
          <cell r="P3" t="str">
            <v>MEDIA</v>
          </cell>
          <cell r="R3" t="str">
            <v>Indagación</v>
          </cell>
          <cell r="T3" t="str">
            <v>Guía a los estudiantes en el diseño de un pequeño experimento o la formulación de una hipótesis relacionada con conclusiones de los experimentos que realizo, aunque no obtenga los resultados esperados. Complementa pidiendo que registre el proceso en informes o gráficas claras, verificables por un tercero. Verifica que el estudiante formule preguntas y analice resultados propios, y no solo responda preguntas cerradas.</v>
          </cell>
        </row>
        <row r="4">
          <cell r="E4" t="str">
            <v xml:space="preserve">Exploro </v>
          </cell>
          <cell r="F4">
            <v>2</v>
          </cell>
          <cell r="H4">
            <v>6</v>
          </cell>
          <cell r="J4" t="str">
            <v>Aspectos analíticos de las sustancias</v>
          </cell>
          <cell r="L4" t="str">
            <v>Modelando y diseñando experiencias para reconocer las variables que permiten obtener resultados y conclusiones.</v>
          </cell>
          <cell r="O4" t="str">
            <v xml:space="preserve">Reconocer las unidades y magnitudes de los datos obtenidos en un experimento o estudio. </v>
          </cell>
          <cell r="P4" t="str">
            <v>ALTA</v>
          </cell>
          <cell r="R4" t="str">
            <v>Reconocimiento</v>
          </cell>
          <cell r="T4" t="str">
            <v>Presenta ejemplos y contraejemplos de mediciones con instrumentos y equipos adecuados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ell>
        </row>
        <row r="5">
          <cell r="E5" t="str">
            <v xml:space="preserve">Exploro </v>
          </cell>
          <cell r="F5">
            <v>3</v>
          </cell>
          <cell r="H5">
            <v>6</v>
          </cell>
          <cell r="J5" t="str">
            <v>Aspectos fisicoquímicos de las sustancias</v>
          </cell>
          <cell r="L5" t="str">
            <v>Conectando teorías, leyes, afirmaciones y sus implicaciones en los sistemas fisicoquímicos.</v>
          </cell>
          <cell r="O5" t="str">
            <v>Argumentar a partir de contextos como actúan las fuerzas intermoleculares en los líquidos.</v>
          </cell>
          <cell r="P5" t="str">
            <v>MEDIA</v>
          </cell>
          <cell r="R5" t="str">
            <v>Argumentación</v>
          </cell>
          <cell r="T5" t="str">
            <v>Propón situaciones en las que los estudiantes deban argumentar y sustentar con evidencia sus respuestas acerca de la formación de moléculas y los estados de la materia a partir de fuerzas electrostáticas. Complementa pidiendo que justifique cada afirmación citando la ley o el modelo teórico que la sustenta. Verifica que el estudiante pueda juzgar la validez de una afirmación o de un modelo explicativo, y no solo describirlo.</v>
          </cell>
        </row>
        <row r="6">
          <cell r="E6" t="str">
            <v xml:space="preserve">Exploro </v>
          </cell>
          <cell r="F6" t="str">
            <v>4</v>
          </cell>
          <cell r="H6">
            <v>6</v>
          </cell>
          <cell r="J6" t="str">
            <v>Aspectos fisicoquímicos de las sustancias</v>
          </cell>
          <cell r="L6" t="str">
            <v>Comunicando el proceso de indagación en modelación científica.</v>
          </cell>
          <cell r="O6" t="str">
            <v>Establecer a partir de resultados, tablas, gráficas y procedimientos se lleguen a preguntas o hipótesis concretas.</v>
          </cell>
          <cell r="P6" t="str">
            <v>ALTA</v>
          </cell>
          <cell r="R6" t="str">
            <v>Indagación</v>
          </cell>
          <cell r="T6" t="str">
            <v>Guía a los estudiantes en el diseño de un pequeño experimento o la formulación de una hipótesis relacionada con conclusiones de los experimentos que realizo, aunque no obtenga los resultados esperados. Complementa pidiendo que registre el proceso en informes o gráficas claras, verificables por un tercero. Verifica que el estudiante formule preguntas y analice resultados propios, y no solo responda preguntas cerradas.</v>
          </cell>
        </row>
        <row r="7">
          <cell r="E7" t="str">
            <v xml:space="preserve">Exploro </v>
          </cell>
          <cell r="F7">
            <v>5</v>
          </cell>
          <cell r="H7">
            <v>6</v>
          </cell>
          <cell r="J7" t="str">
            <v>Aspectos fisicoquímicos de las sustancias</v>
          </cell>
          <cell r="L7" t="str">
            <v>Comunicando el proceso de indagación en modelación científica.</v>
          </cell>
          <cell r="O7" t="str">
            <v>Establecer a partir de resultados, tablas, gráficas y procedimientos se lleguen a preguntas o hipótesis concretas.</v>
          </cell>
          <cell r="P7" t="str">
            <v>MEDIA</v>
          </cell>
          <cell r="R7" t="str">
            <v>Indagación</v>
          </cell>
          <cell r="T7" t="str">
            <v>Guía a los estudiantes en el diseño de un pequeño experimento o la formulación de una hipótesis relacionada con conclusiones de los experimentos que realizo, aunque no obtenga los resultados esperados. Complementa pidiendo que registre el proceso en informes o gráficas claras, verificables por un tercero. Verifica que el estudiante formule preguntas y analice resultados propios, y no solo responda preguntas cerradas.</v>
          </cell>
        </row>
        <row r="8">
          <cell r="E8" t="str">
            <v xml:space="preserve">Exploro </v>
          </cell>
          <cell r="F8">
            <v>6</v>
          </cell>
          <cell r="H8">
            <v>6</v>
          </cell>
          <cell r="J8" t="str">
            <v>Aspectos analíticos de las mezclas</v>
          </cell>
          <cell r="L8" t="str">
            <v>Interactuando con las propiedades y clasificación de la materia en sistemas físicos, químicos y biológicos.</v>
          </cell>
          <cell r="O8" t="str">
            <v>Explicar las diferencias entre funciones químicas y grupos funcionales.</v>
          </cell>
          <cell r="P8" t="str">
            <v>MEDIA</v>
          </cell>
          <cell r="R8" t="str">
            <v>Argumentación</v>
          </cell>
          <cell r="T8" t="str">
            <v>Propón situaciones en las que los estudiantes deban argumentar y sustentar con evidencia sus respuestas acerca de grupos funcionales con las propiedades físicas y químicas de las sustancias. Complementa con una actividad práctica de clasificación de sustancias puras, mezclas, elementos y compuestos. Verifica que el estudiante pueda juzgar la validez de una afirmación o de un modelo explicativo, y no solo describirlo.</v>
          </cell>
        </row>
        <row r="9">
          <cell r="E9" t="str">
            <v xml:space="preserve">Exploro </v>
          </cell>
          <cell r="F9" t="str">
            <v>7</v>
          </cell>
          <cell r="H9">
            <v>6</v>
          </cell>
          <cell r="J9" t="str">
            <v>Aspectos analíticos de las sustancias</v>
          </cell>
          <cell r="L9" t="str">
            <v>Comunicando el proceso de indagación en modelación científica.</v>
          </cell>
          <cell r="O9" t="str">
            <v>Identificar resultados expresados en tablas, gráficas y procedimientos.</v>
          </cell>
          <cell r="P9" t="str">
            <v>BAJA</v>
          </cell>
          <cell r="R9" t="str">
            <v>Reconocimiento</v>
          </cell>
          <cell r="T9" t="str">
            <v>Presenta ejemplos y contraejemplos de oralmente y por escrito el proceso de indagación y los resultados que obtengo, utilizando gráficas, tablas y ecuaciones aritméticas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10">
          <cell r="E10" t="str">
            <v xml:space="preserve">Exploro </v>
          </cell>
          <cell r="F10">
            <v>8</v>
          </cell>
          <cell r="H10">
            <v>6</v>
          </cell>
          <cell r="J10" t="str">
            <v>Aspectos analíticos de las mezclas</v>
          </cell>
          <cell r="L10" t="str">
            <v>Comunicando el proceso de indagación en modelación científica.</v>
          </cell>
          <cell r="O10" t="str">
            <v>Identificar resultados expresados en tablas, gráficas y procedimientos.</v>
          </cell>
          <cell r="P10" t="str">
            <v>BAJA</v>
          </cell>
          <cell r="R10" t="str">
            <v>Reconocimiento</v>
          </cell>
          <cell r="T10" t="str">
            <v>Presenta ejemplos y contraejemplos de oralmente y por escrito el proceso de indagación y los resultados que obtengo, utilizando gráficas, tablas y ecuaciones aritméticas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11">
          <cell r="E11" t="str">
            <v xml:space="preserve">Exploro </v>
          </cell>
          <cell r="F11">
            <v>9</v>
          </cell>
          <cell r="H11">
            <v>6</v>
          </cell>
          <cell r="J11" t="str">
            <v>Aspectos analíticos de las sustancias</v>
          </cell>
          <cell r="L11" t="str">
            <v>Procesando información registrando y midiendo de manera adecuada las observaciones del proceso de modelación científico.</v>
          </cell>
          <cell r="O11" t="str">
            <v>Describir un fenómeno.</v>
          </cell>
          <cell r="P11" t="str">
            <v>ALTA</v>
          </cell>
          <cell r="R11" t="str">
            <v>Comprensión</v>
          </cell>
          <cell r="T11" t="str">
            <v>Pide a los estudiantes que expliquen con sus propias palabras fenómenos específicos, verificando que usen correctamente el lenguaje científico. Complementa pidiendo que registre datos con unidades y cifras significativas correctas. Verifica que el estudiante formule preguntas y analice resultados propios, y no solo responda preguntas cerradas.</v>
          </cell>
        </row>
        <row r="12">
          <cell r="E12" t="str">
            <v xml:space="preserve">Exploro </v>
          </cell>
          <cell r="F12" t="str">
            <v>10</v>
          </cell>
          <cell r="H12">
            <v>6</v>
          </cell>
          <cell r="J12" t="str">
            <v>Aspectos fisicoquímicos de las sustancias</v>
          </cell>
          <cell r="L12" t="str">
            <v>Comunicando el proceso de indagación en modelación científica.</v>
          </cell>
          <cell r="O12" t="str">
            <v>Encontrar regularidades y patrones que permiten llegar a conclusiones o resultados.</v>
          </cell>
          <cell r="P12" t="str">
            <v>MEDIA</v>
          </cell>
          <cell r="R12" t="str">
            <v>Reconocimiento</v>
          </cell>
          <cell r="T12" t="str">
            <v>Presenta ejemplos y contraejemplos de oralmente y por escrito el proceso de indagación y los resultados que obtengo, utilizando gráficas, tablas y ecuaciones aritméticas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13">
          <cell r="E13" t="str">
            <v>Desarrollo</v>
          </cell>
          <cell r="F13">
            <v>1</v>
          </cell>
          <cell r="H13">
            <v>6</v>
          </cell>
          <cell r="J13" t="str">
            <v>Aspectos analíticos de las sustancias</v>
          </cell>
          <cell r="L13" t="str">
            <v>Interactuando con las propiedades y clasificación de la materia en sistemas físicos, químicos y biológicos.</v>
          </cell>
          <cell r="O13" t="str">
            <v>Reconocer cómo disminuye o aumenta una propiedad periódica teniendo en cuenta tablas, gráficas o artículos.</v>
          </cell>
          <cell r="P13" t="str">
            <v>BAJA</v>
          </cell>
          <cell r="R13" t="str">
            <v>Reconocimiento</v>
          </cell>
          <cell r="T13" t="str">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ell>
        </row>
        <row r="14">
          <cell r="E14" t="str">
            <v>Desarrollo</v>
          </cell>
          <cell r="F14">
            <v>2</v>
          </cell>
          <cell r="H14">
            <v>6</v>
          </cell>
          <cell r="J14" t="str">
            <v>Aspectos analíticos de las sustancias</v>
          </cell>
          <cell r="L14" t="str">
            <v>Generando explicaciones a preguntas e hipótesis acerca de la modelación científica.</v>
          </cell>
          <cell r="O14" t="str">
            <v>Identificar nuevas preguntas de indagación que surgen de los resultados.</v>
          </cell>
          <cell r="P14" t="str">
            <v>ALTA</v>
          </cell>
          <cell r="R14" t="str">
            <v>Reconocimiento</v>
          </cell>
          <cell r="T14" t="str">
            <v>Presenta ejemplos y contraejemplos de mis conclusiones con las presentadas por otros autores y formulo nuevas preguntas y pide a los estudiantes que los clasifiquen, antes de avanzar a preguntas más complejas. Complementa pidiendo que formule una hipótesis propia y la contraste con un resultado observado. Verifica que el estudiante formule preguntas y analice resultados propios, y no solo responda preguntas cerradas.</v>
          </cell>
        </row>
        <row r="15">
          <cell r="E15" t="str">
            <v>Desarrollo</v>
          </cell>
          <cell r="F15">
            <v>3</v>
          </cell>
          <cell r="H15">
            <v>6</v>
          </cell>
          <cell r="J15" t="str">
            <v>Aspectos analíticos de las sustancias</v>
          </cell>
          <cell r="L15" t="str">
            <v>Conectando teorías, leyes, afirmaciones y sus implicaciones en los sistemas fisicoquímicos.</v>
          </cell>
          <cell r="O15" t="str">
            <v>Determinar a partir de información como: configuración electrónica, propiedades periódicas, gráficas o tablas periódicas, qué tipo de enlace químico se está formando.</v>
          </cell>
          <cell r="P15" t="str">
            <v>ALTA</v>
          </cell>
          <cell r="R15" t="str">
            <v>Aplicación</v>
          </cell>
          <cell r="T15" t="str">
            <v>Realiza ejercicios prácticos guiados paso a paso sobre la relación entre la estructura de los átomos y los enlaces que realiza, retroalimentando el procedimiento y no solo el resultado. Complementa pidiendo que justifique cada afirmación citando la ley o el modelo teórico que la sustenta. Verifica que el estudiante no se limite a repetir el concepto, sino que lo use para resolver un problema distinto al trabajado en clase.</v>
          </cell>
        </row>
        <row r="16">
          <cell r="E16" t="str">
            <v>Desarrollo</v>
          </cell>
          <cell r="F16">
            <v>4</v>
          </cell>
          <cell r="H16">
            <v>6</v>
          </cell>
          <cell r="J16" t="str">
            <v>Aspectos analíticos de las sustancias</v>
          </cell>
          <cell r="L16" t="str">
            <v>Procesando información registrando y midiendo de manera adecuada las observaciones del proceso de modelación científico.</v>
          </cell>
          <cell r="O16" t="str">
            <v>Anotar los resultados de un experimento o investigación mediante esquemas, gráficos o tablas.</v>
          </cell>
          <cell r="P16" t="str">
            <v>BAJA</v>
          </cell>
          <cell r="R16" t="str">
            <v>Aplicación</v>
          </cell>
          <cell r="T16" t="str">
            <v>Realiza ejercicios prácticos guiados paso a paso sobre mis observaciones y resultados utilizando esquemas, gráficos y tablas, retroalimentando el procedimiento y no solo el resultado. Complementa pidiendo que registre datos con unidades y cifras significativas correctas. Verifica que el estudiante formule preguntas y analice resultados propios, y no solo responda preguntas cerradas.</v>
          </cell>
        </row>
        <row r="17">
          <cell r="E17" t="str">
            <v>Desarrollo</v>
          </cell>
          <cell r="F17">
            <v>5</v>
          </cell>
          <cell r="H17">
            <v>6</v>
          </cell>
          <cell r="J17" t="str">
            <v>Aspectos fisicoquímicos de las mezclas</v>
          </cell>
          <cell r="L17" t="str">
            <v>Comunicando el proceso de indagación en modelación científica.</v>
          </cell>
          <cell r="O17" t="str">
            <v>Obtener conclusiones a partir de información reportada en gráficos.</v>
          </cell>
          <cell r="P17" t="str">
            <v>BAJA</v>
          </cell>
          <cell r="R17" t="str">
            <v>Aplicación</v>
          </cell>
          <cell r="T17" t="str">
            <v>Realiza ejercicios prácticos guiados paso a paso sobre conclusiones de los experimentos que realizo, aunque no obtenga los resultados esperados, retroalimentando el procedimiento y no solo el resultado. Complementa pidiendo que registre el proceso en informes o gráficas claras, verificables por un tercero. Verifica que el estudiante formule preguntas y analice resultados propios, y no solo responda preguntas cerradas.</v>
          </cell>
        </row>
        <row r="18">
          <cell r="E18" t="str">
            <v>Desarrollo</v>
          </cell>
          <cell r="F18">
            <v>6</v>
          </cell>
          <cell r="H18">
            <v>6</v>
          </cell>
          <cell r="J18" t="str">
            <v>Aspectos fisicoquímicos de las sustancias</v>
          </cell>
          <cell r="L18" t="str">
            <v>Procesando información registrando y midiendo de manera adecuada las observaciones del proceso de modelación científico.</v>
          </cell>
          <cell r="O18" t="str">
            <v>Anotar los resultados de un experimento o investigación mediante esquemas, gráficas o tablas.</v>
          </cell>
          <cell r="P18" t="str">
            <v>BAJA</v>
          </cell>
          <cell r="R18" t="str">
            <v>Aplicación</v>
          </cell>
          <cell r="T18" t="str">
            <v>Realiza ejercicios prácticos guiados paso a paso sobre mis observaciones y resultados utilizando esquemas, gráficos y tablas, retroalimentando el procedimiento y no solo el resultado. Complementa pidiendo que registre datos con unidades y cifras significativas correctas. Verifica que el estudiante formule preguntas y analice resultados propios, y no solo responda preguntas cerradas.</v>
          </cell>
        </row>
        <row r="19">
          <cell r="E19" t="str">
            <v>Desarrollo</v>
          </cell>
          <cell r="F19">
            <v>7</v>
          </cell>
          <cell r="H19">
            <v>6</v>
          </cell>
          <cell r="J19" t="str">
            <v>Aspectos fisicoquímicos de las sustancias</v>
          </cell>
          <cell r="L19" t="str">
            <v>Integrando las transformaciones de la materia con los cambios de las sustancias en la vida cotidiana.</v>
          </cell>
          <cell r="O19" t="str">
            <v>Establecer las magnitudes de un gas teniendo en cuenta las leyes y sus variables.</v>
          </cell>
          <cell r="P19" t="str">
            <v>ALTA</v>
          </cell>
          <cell r="R19" t="str">
            <v>Indagación</v>
          </cell>
          <cell r="T19" t="str">
            <v>Guía a los estudiantes en el diseño de un pequeño experimento o la formulación de una hipótesis relacionada con cálculos cuantitativos en cambios químicos. Complementa con ejercicios de balanceo y estequiometría aplicados a ejemplos observables de la vida cotidiana. Verifica que el estudiante pueda juzgar la validez de una afirmación o de un modelo explicativo, y no solo describirlo.</v>
          </cell>
        </row>
        <row r="20">
          <cell r="E20" t="str">
            <v>Desarrollo</v>
          </cell>
          <cell r="F20" t="str">
            <v>8</v>
          </cell>
          <cell r="H20">
            <v>6</v>
          </cell>
          <cell r="J20" t="str">
            <v>Aspectos analíticos de las mezclas</v>
          </cell>
          <cell r="L20" t="str">
            <v>Integrando las transformaciones de la materia con los cambios de las sustancias en la vida cotidiana.</v>
          </cell>
          <cell r="O20" t="str">
            <v>Reconocer propiedades o características de los gases cuando modifican sus magnitudes.</v>
          </cell>
          <cell r="P20" t="str">
            <v>MEDIA</v>
          </cell>
          <cell r="R20" t="str">
            <v>Reconocimiento</v>
          </cell>
          <cell r="T20" t="str">
            <v>Presenta ejemplos y contraejemplos de cálculos cuantitativos en cambios químicos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21">
          <cell r="E21" t="str">
            <v>Desarrollo</v>
          </cell>
          <cell r="F21">
            <v>9</v>
          </cell>
          <cell r="H21">
            <v>6</v>
          </cell>
          <cell r="J21" t="str">
            <v>Aspectos fisicoquímicos de las mezclas</v>
          </cell>
          <cell r="L21" t="str">
            <v>Integrando las transformaciones de la materia con los cambios de las sustancias en la vida cotidiana.</v>
          </cell>
          <cell r="O21" t="str">
            <v>Indicar los principios físicos que permiten que se lleven a cabo procesos de separación de mezclas.</v>
          </cell>
          <cell r="P21" t="str">
            <v>MEDIA</v>
          </cell>
          <cell r="R21" t="str">
            <v>Reconocimiento</v>
          </cell>
          <cell r="T21" t="str">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ell>
        </row>
        <row r="22">
          <cell r="E22" t="str">
            <v>Desarrollo</v>
          </cell>
          <cell r="F22">
            <v>10</v>
          </cell>
          <cell r="H22">
            <v>6</v>
          </cell>
          <cell r="J22" t="str">
            <v>Aspectos fisicoquímicos de las mezclas</v>
          </cell>
          <cell r="L22" t="str">
            <v>Comunicando el proceso de indagación en modelación científica.</v>
          </cell>
          <cell r="O22" t="str">
            <v>Describir los resultados de una manera coherente.</v>
          </cell>
          <cell r="P22" t="str">
            <v>BAJA</v>
          </cell>
          <cell r="R22" t="str">
            <v>Comprensión</v>
          </cell>
          <cell r="T22" t="str">
            <v>Pide a los estudiantes que expliquen con sus propias palabras oralmente y por escrito el proceso de indagación y los resultados que obtengo, utilizando gráficas, tablas y ecuaciones aritméticas, verificando que usen correctamente el lenguaje científico. Complementa pidiendo que registre el proceso en informes o gráficas claras, verificables por un tercero. Verifica que el estudiante formule preguntas y analice resultados propios, y no solo responda preguntas cerradas.</v>
          </cell>
        </row>
        <row r="23">
          <cell r="E23" t="str">
            <v>Desarrollo</v>
          </cell>
          <cell r="F23">
            <v>11</v>
          </cell>
          <cell r="H23">
            <v>6</v>
          </cell>
          <cell r="J23" t="str">
            <v>Aspectos analíticos de las mezclas</v>
          </cell>
          <cell r="L23" t="str">
            <v>Comunicando el proceso de indagación en modelación científica.</v>
          </cell>
          <cell r="O23" t="str">
            <v>Corroborar o refutar la hipótesis planteada en un experimento.</v>
          </cell>
          <cell r="P23" t="str">
            <v>MEDIA</v>
          </cell>
          <cell r="R23" t="str">
            <v>Argumentación</v>
          </cell>
          <cell r="T23" t="str">
            <v>Propón situaciones en las que los estudiantes deban argumentar y sustentar con evidencia sus respuestas acerca de conclusiones de los experimentos que realizo, aunque no obtenga los resultados esperados. Complementa pidiendo que registre el proceso en informes o gráficas claras, verificables por un tercero. Verifica que el estudiante formule preguntas y analice resultados propios, y no solo responda preguntas cerradas.</v>
          </cell>
        </row>
        <row r="24">
          <cell r="E24" t="str">
            <v>Desarrollo</v>
          </cell>
          <cell r="F24">
            <v>12</v>
          </cell>
          <cell r="H24">
            <v>6</v>
          </cell>
          <cell r="J24" t="str">
            <v>Aspectos analíticos de las mezclas</v>
          </cell>
          <cell r="L24" t="str">
            <v>Comunicando el proceso de indagación en modelación científica.</v>
          </cell>
          <cell r="O24" t="str">
            <v>Identificar el mejor título de un experimento.</v>
          </cell>
          <cell r="P24" t="str">
            <v>BAJA</v>
          </cell>
          <cell r="R24" t="str">
            <v>Reconocimiento</v>
          </cell>
          <cell r="T24" t="str">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25">
          <cell r="E25" t="str">
            <v>Desarrollo</v>
          </cell>
          <cell r="F25">
            <v>13</v>
          </cell>
          <cell r="H25">
            <v>6</v>
          </cell>
          <cell r="J25" t="str">
            <v>Aspectos analíticos de las mezclas</v>
          </cell>
          <cell r="L25" t="str">
            <v>Modelando y diseñando experiencias para reconocer las variables que permiten obtener resultados y conclusiones.</v>
          </cell>
          <cell r="O25" t="str">
            <v>Proponer como se encuentra dividido el procedimiento de un determinado experimento</v>
          </cell>
          <cell r="P25" t="str">
            <v>ALTA</v>
          </cell>
          <cell r="R25" t="str">
            <v>Indagación</v>
          </cell>
          <cell r="T25" t="str">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ell>
        </row>
        <row r="26">
          <cell r="E26" t="str">
            <v>Desarrollo</v>
          </cell>
          <cell r="F26">
            <v>14</v>
          </cell>
          <cell r="H26">
            <v>6</v>
          </cell>
          <cell r="J26" t="str">
            <v>Aspectos fisicoquímicos de las sustancias</v>
          </cell>
          <cell r="L26" t="str">
            <v>Integrando las transformaciones de la materia con los cambios de las sustancias en la vida cotidiana.</v>
          </cell>
          <cell r="O26" t="str">
            <v>Describir cambios químicos a través de la ecuación que corresponde a dicho cambio químico.</v>
          </cell>
          <cell r="P26" t="str">
            <v>MEDIA</v>
          </cell>
          <cell r="R26" t="str">
            <v>Comprensión</v>
          </cell>
          <cell r="T26" t="str">
            <v>Pide a los estudiantes que expliquen con sus propias palabras cambios químicos en la vida cotidiana y en el ambiente, verificando que usen correctamente el lenguaje científico. Complementa con ejercicios de balanceo y estequiometría aplicados a ejemplos observables de la vida cotidiana. Verifica que el estudiante pueda juzgar la validez de una afirmación o de un modelo explicativo, y no solo describirlo.</v>
          </cell>
        </row>
        <row r="27">
          <cell r="E27" t="str">
            <v>Desarrollo</v>
          </cell>
          <cell r="F27">
            <v>15</v>
          </cell>
          <cell r="H27">
            <v>6</v>
          </cell>
          <cell r="J27" t="str">
            <v>Aspectos fisicoquímicos de las sustancias</v>
          </cell>
          <cell r="L27" t="str">
            <v>Comunicando el proceso de indagación en modelación científica.</v>
          </cell>
          <cell r="O27" t="str">
            <v>Identificar el mejor título de un experimento.</v>
          </cell>
          <cell r="P27" t="str">
            <v>ALTA</v>
          </cell>
          <cell r="R27" t="str">
            <v>Reconocimiento</v>
          </cell>
          <cell r="T27" t="str">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ell>
        </row>
        <row r="28">
          <cell r="E28" t="str">
            <v>Aplico</v>
          </cell>
          <cell r="F28" t="str">
            <v>1</v>
          </cell>
          <cell r="H28">
            <v>6</v>
          </cell>
          <cell r="J28" t="str">
            <v>Aspectos analíticos de las mezclas</v>
          </cell>
          <cell r="L28" t="str">
            <v>Integrando las transformaciones de la materia con los cambios de las sustancias en la vida cotidiana.</v>
          </cell>
          <cell r="O28" t="str">
            <v>Establecer las relaciones entre las diversas formas de concentración físicas y químicas.</v>
          </cell>
          <cell r="P28" t="str">
            <v>MEDIA</v>
          </cell>
          <cell r="R28" t="str">
            <v>Indagación</v>
          </cell>
          <cell r="T28" t="str">
            <v>Guía a los estudiantes en el diseño de un pequeño experimento o la formulación de una hipótesis relacionada con cambios químicos en la vida cotidiana y en el ambiente. Complementa con ejercicios de balanceo y estequiometría aplicados a ejemplos observables de la vida cotidiana. Verifica que el estudiante no se limite a repetir el concepto, sino que lo use para resolver un problema distinto al trabajado en clase.</v>
          </cell>
        </row>
        <row r="29">
          <cell r="E29" t="str">
            <v>Aplico</v>
          </cell>
          <cell r="F29" t="str">
            <v>2</v>
          </cell>
          <cell r="H29">
            <v>6</v>
          </cell>
          <cell r="J29" t="str">
            <v>Aspectos fisicoquímicos de las sustancias</v>
          </cell>
          <cell r="L29" t="str">
            <v>Integrando las transformaciones de la materia con los cambios de las sustancias en la vida cotidiana.</v>
          </cell>
          <cell r="O29" t="str">
            <v>Argumentar como la energía altera la organización de las partículas.</v>
          </cell>
          <cell r="P29" t="str">
            <v>MEDIA</v>
          </cell>
          <cell r="R29" t="str">
            <v>Argumentación</v>
          </cell>
          <cell r="T29" t="str">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ell>
        </row>
        <row r="30">
          <cell r="E30" t="str">
            <v>Aplico</v>
          </cell>
          <cell r="F30" t="str">
            <v>3</v>
          </cell>
          <cell r="H30">
            <v>6</v>
          </cell>
          <cell r="L30" t="str">
            <v>Integrando los avances tecnológicos y el desarrollo científico en la sociedad.</v>
          </cell>
          <cell r="R30" t="str">
            <v>Reconocimiento</v>
          </cell>
          <cell r="T30" t="str">
            <v>Presenta ejemplos y contraejemplos de aplicaciones de los diferentes modelos de la luz y pide a los estudiantes que los clasifiquen, antes de avanzar a preguntas más complejas. Complementa con un debate corto sobre ventajas y riesgos de un desarrollo tecnológico concreto.</v>
          </cell>
        </row>
      </sheetData>
      <sheetData sheetId="8"/>
      <sheetData sheetId="9"/>
      <sheetData sheetId="10"/>
      <sheetData sheetId="1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5E6A6-C574-4C64-A731-98EA5FFBE51E}">
  <dimension ref="A1:J167"/>
  <sheetViews>
    <sheetView tabSelected="1" topLeftCell="H1" zoomScaleNormal="100" workbookViewId="0">
      <pane ySplit="1" topLeftCell="A2" activePane="bottomLeft" state="frozen"/>
      <selection pane="bottomLeft" activeCell="J1" sqref="J1:J1048576"/>
    </sheetView>
  </sheetViews>
  <sheetFormatPr baseColWidth="10" defaultColWidth="8.7265625" defaultRowHeight="14.5" x14ac:dyDescent="0.35"/>
  <cols>
    <col min="1" max="2" width="12" style="1" customWidth="1"/>
    <col min="3" max="4" width="15" style="1" customWidth="1"/>
    <col min="5" max="5" width="45" style="1" customWidth="1"/>
    <col min="6" max="6" width="18" style="1" customWidth="1"/>
    <col min="7" max="7" width="12" style="1" customWidth="1"/>
    <col min="8" max="8" width="44.6328125" style="1" customWidth="1"/>
    <col min="9" max="9" width="100" style="1" customWidth="1"/>
    <col min="10" max="10" width="40.90625" style="1" customWidth="1"/>
    <col min="11" max="16384" width="8.7265625" style="1"/>
  </cols>
  <sheetData>
    <row r="1" spans="1:10" ht="30" customHeight="1" x14ac:dyDescent="0.35">
      <c r="A1" s="4" t="s">
        <v>15</v>
      </c>
      <c r="B1" s="4" t="s">
        <v>14</v>
      </c>
      <c r="C1" s="4" t="s">
        <v>13</v>
      </c>
      <c r="D1" s="4" t="s">
        <v>12</v>
      </c>
      <c r="E1" s="4" t="s">
        <v>11</v>
      </c>
      <c r="F1" s="4" t="s">
        <v>10</v>
      </c>
      <c r="G1" s="4" t="s">
        <v>9</v>
      </c>
      <c r="H1" s="4" t="s">
        <v>8</v>
      </c>
      <c r="I1" s="4" t="s">
        <v>7</v>
      </c>
      <c r="J1" s="4" t="s">
        <v>6</v>
      </c>
    </row>
    <row r="2" spans="1:10" ht="60" customHeight="1" x14ac:dyDescent="0.35">
      <c r="A2" s="3" t="s">
        <v>5</v>
      </c>
      <c r="B2" s="3" t="str">
        <f>TRIM('[1]UNIDAD 1'!E3)</f>
        <v>Exploro</v>
      </c>
      <c r="C2" s="3" t="str">
        <f>'[1]UNIDAD 1'!F3</f>
        <v>1</v>
      </c>
      <c r="D2" s="3">
        <f>'[1]UNIDAD 1'!H3</f>
        <v>6</v>
      </c>
      <c r="E2" s="2" t="str">
        <f>'[1]UNIDAD 1'!L3</f>
        <v>Integrando las transformaciones de la materia con los cambios de las sustancias en la vida cotidiana.</v>
      </c>
      <c r="F2" s="3" t="str">
        <f>'[1]UNIDAD 1'!R3</f>
        <v>Reconocimiento</v>
      </c>
      <c r="G2" s="3" t="str">
        <f>'[1]UNIDAD 1'!P3</f>
        <v>BAJA</v>
      </c>
      <c r="H2" s="2" t="str">
        <f>'[1]UNIDAD 1'!J3</f>
        <v>Aspectos fisicoquímicos de las sustancias</v>
      </c>
      <c r="I2" s="2" t="str">
        <f>'[1]UNIDAD 1'!T3</f>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2" s="2" t="str">
        <f>'[1]UNIDAD 1'!O3</f>
        <v>Reconocer sustancias puras de mezclas.</v>
      </c>
    </row>
    <row r="3" spans="1:10" ht="60" customHeight="1" x14ac:dyDescent="0.35">
      <c r="A3" s="3" t="s">
        <v>5</v>
      </c>
      <c r="B3" s="3" t="str">
        <f>TRIM('[1]UNIDAD 1'!E4)</f>
        <v>Exploro</v>
      </c>
      <c r="C3" s="3">
        <f>'[1]UNIDAD 1'!F4</f>
        <v>2</v>
      </c>
      <c r="D3" s="3">
        <f>'[1]UNIDAD 1'!H4</f>
        <v>6</v>
      </c>
      <c r="E3" s="2" t="str">
        <f>'[1]UNIDAD 1'!L4</f>
        <v>Integrando las transformaciones de la materia con los cambios de las sustancias en la vida cotidiana.</v>
      </c>
      <c r="F3" s="3" t="str">
        <f>'[1]UNIDAD 1'!R4</f>
        <v>Argumentación</v>
      </c>
      <c r="G3" s="3" t="str">
        <f>'[1]UNIDAD 1'!P4</f>
        <v>MEDIA</v>
      </c>
      <c r="H3" s="2" t="str">
        <f>'[1]UNIDAD 1'!J4</f>
        <v>Aspectos analíticos de las mezclas</v>
      </c>
      <c r="I3" s="2" t="str">
        <f>'[1]UNIDAD 1'!T4</f>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
      <c r="J3" s="2" t="str">
        <f>'[1]UNIDAD 1'!O4</f>
        <v>Explicar la composición de una sustancia o mezcla.</v>
      </c>
    </row>
    <row r="4" spans="1:10" ht="75" customHeight="1" x14ac:dyDescent="0.35">
      <c r="A4" s="3" t="s">
        <v>5</v>
      </c>
      <c r="B4" s="3" t="str">
        <f>TRIM('[1]UNIDAD 1'!E5)</f>
        <v>Exploro</v>
      </c>
      <c r="C4" s="3">
        <f>'[1]UNIDAD 1'!F5</f>
        <v>3</v>
      </c>
      <c r="D4" s="3">
        <f>'[1]UNIDAD 1'!H5</f>
        <v>6</v>
      </c>
      <c r="E4" s="2" t="str">
        <f>'[1]UNIDAD 1'!L5</f>
        <v>Comunicando el proceso de indagación en modelación científica.</v>
      </c>
      <c r="F4" s="3" t="str">
        <f>'[1]UNIDAD 1'!R5</f>
        <v>Reconocimiento</v>
      </c>
      <c r="G4" s="3" t="str">
        <f>'[1]UNIDAD 1'!P5</f>
        <v>BAJA</v>
      </c>
      <c r="H4" s="2" t="str">
        <f>'[1]UNIDAD 1'!J5</f>
        <v>Aspectos fisicoquímicos de las mezclas</v>
      </c>
      <c r="I4" s="2" t="str">
        <f>'[1]UNIDAD 1'!T5</f>
        <v>Presenta ejemplos y contraejemplos del proceso de indagación y los resultados, utilizando gráficas, tablas, ecuaciones aritméticas y algebraicas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4" s="2" t="str">
        <f>'[1]UNIDAD 1'!O5</f>
        <v>Identificar el mejor título de un experimento.</v>
      </c>
    </row>
    <row r="5" spans="1:10" ht="75" customHeight="1" x14ac:dyDescent="0.35">
      <c r="A5" s="3" t="s">
        <v>5</v>
      </c>
      <c r="B5" s="3" t="str">
        <f>TRIM('[1]UNIDAD 1'!E6)</f>
        <v>Exploro</v>
      </c>
      <c r="C5" s="3" t="str">
        <f>'[1]UNIDAD 1'!F6</f>
        <v>4</v>
      </c>
      <c r="D5" s="3">
        <f>'[1]UNIDAD 1'!H6</f>
        <v>6</v>
      </c>
      <c r="E5" s="2" t="str">
        <f>'[1]UNIDAD 1'!L6</f>
        <v>Modelando y diseñando experiencias para reconocer las variables que permiten obtener resultados y conclusiones.</v>
      </c>
      <c r="F5" s="3" t="str">
        <f>'[1]UNIDAD 1'!R6</f>
        <v>Indagación</v>
      </c>
      <c r="G5" s="3" t="str">
        <f>'[1]UNIDAD 1'!P6</f>
        <v>ALTA</v>
      </c>
      <c r="H5" s="2" t="str">
        <f>'[1]UNIDAD 1'!J6</f>
        <v>Aspectos fisicoquímicos de las mezclas</v>
      </c>
      <c r="I5" s="2" t="str">
        <f>'[1]UNIDAD 1'!T6</f>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
      <c r="J5" s="2" t="str">
        <f>'[1]UNIDAD 1'!O6</f>
        <v>Establecer cuál es la tabla de resultados más adecuada para una práctica.</v>
      </c>
    </row>
    <row r="6" spans="1:10" ht="60" customHeight="1" x14ac:dyDescent="0.35">
      <c r="A6" s="3" t="s">
        <v>5</v>
      </c>
      <c r="B6" s="3" t="str">
        <f>TRIM('[1]UNIDAD 1'!E7)</f>
        <v>Exploro</v>
      </c>
      <c r="C6" s="3">
        <f>'[1]UNIDAD 1'!F7</f>
        <v>5</v>
      </c>
      <c r="D6" s="3">
        <f>'[1]UNIDAD 1'!H7</f>
        <v>6</v>
      </c>
      <c r="E6" s="2" t="str">
        <f>'[1]UNIDAD 1'!L7</f>
        <v>Integrando las transformaciones de la materia con los cambios de las sustancias en la vida cotidiana.</v>
      </c>
      <c r="F6" s="3" t="str">
        <f>'[1]UNIDAD 1'!R7</f>
        <v>Argumentación</v>
      </c>
      <c r="G6" s="3" t="str">
        <f>'[1]UNIDAD 1'!P7</f>
        <v>BAJA</v>
      </c>
      <c r="H6" s="2" t="str">
        <f>'[1]UNIDAD 1'!J7</f>
        <v>Aspectos analíticos de las mezclas</v>
      </c>
      <c r="I6" s="2" t="str">
        <f>'[1]UNIDAD 1'!T7</f>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
      <c r="J6" s="2" t="str">
        <f>'[1]UNIDAD 1'!O7</f>
        <v>Explicar los procesos de separación de mezclas líquido-líquido, de acuerdo a las propiedades físicas de la mezcla, en sistemas homogéneos y heterogéneos.</v>
      </c>
    </row>
    <row r="7" spans="1:10" ht="60" customHeight="1" x14ac:dyDescent="0.35">
      <c r="A7" s="3" t="s">
        <v>5</v>
      </c>
      <c r="B7" s="3" t="str">
        <f>TRIM('[1]UNIDAD 1'!E8)</f>
        <v>Exploro</v>
      </c>
      <c r="C7" s="3">
        <f>'[1]UNIDAD 1'!F8</f>
        <v>6</v>
      </c>
      <c r="D7" s="3">
        <f>'[1]UNIDAD 1'!H8</f>
        <v>6</v>
      </c>
      <c r="E7" s="2" t="str">
        <f>'[1]UNIDAD 1'!L8</f>
        <v>Generando explicaciones a preguntas e hipótesis acerca de la modelación científica.</v>
      </c>
      <c r="F7" s="3" t="str">
        <f>'[1]UNIDAD 1'!R8</f>
        <v>Reconocimiento</v>
      </c>
      <c r="G7" s="3" t="str">
        <f>'[1]UNIDAD 1'!P8</f>
        <v>MEDIA</v>
      </c>
      <c r="H7" s="2" t="str">
        <f>'[1]UNIDAD 1'!J8</f>
        <v>Aspectos analíticos de las mezclas</v>
      </c>
      <c r="I7" s="2" t="str">
        <f>'[1]UNIDAD 1'!T8</f>
        <v>Presenta ejemplos y contraejemplos de mis conclusiones con las presentadas por otros autores y formulo nuevas preguntas y pide a los estudiantes que los clasifiquen, antes de avanzar a preguntas más complejas. Complementa pidiendo que formule una hipótesis propia y la contraste con un resultado observado. Verifica que el estudiante formule preguntas y analice resultados propios, y no solo responda preguntas cerradas.</v>
      </c>
      <c r="J7" s="2" t="str">
        <f>'[1]UNIDAD 1'!O8</f>
        <v>Identificar nuevas preguntas de indagación que surgen de los resultados.</v>
      </c>
    </row>
    <row r="8" spans="1:10" ht="75" customHeight="1" x14ac:dyDescent="0.35">
      <c r="A8" s="3" t="s">
        <v>5</v>
      </c>
      <c r="B8" s="3" t="str">
        <f>TRIM('[1]UNIDAD 1'!E9)</f>
        <v>Exploro</v>
      </c>
      <c r="C8" s="3" t="str">
        <f>'[1]UNIDAD 1'!F9</f>
        <v>7</v>
      </c>
      <c r="D8" s="3">
        <f>'[1]UNIDAD 1'!H9</f>
        <v>6</v>
      </c>
      <c r="E8" s="2" t="str">
        <f>'[1]UNIDAD 1'!L9</f>
        <v>Modelando y diseñando experiencias para reconocer las variables que permiten obtener resultados y conclusiones.</v>
      </c>
      <c r="F8" s="3" t="str">
        <f>'[1]UNIDAD 1'!R9</f>
        <v>Reconocimiento</v>
      </c>
      <c r="G8" s="3" t="str">
        <f>'[1]UNIDAD 1'!P9</f>
        <v>BAJA</v>
      </c>
      <c r="H8" s="2" t="str">
        <f>'[1]UNIDAD 1'!J9</f>
        <v>Aspectos analíticos de las mezclas</v>
      </c>
      <c r="I8" s="2" t="str">
        <f>'[1]UNIDAD 1'!T9</f>
        <v>Presenta ejemplos y contraejemplos de relaciones causales y multicausales entre los datos recopilados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
      <c r="J8" s="2" t="str">
        <f>'[1]UNIDAD 1'!O9</f>
        <v>Reconocer relaciones de causa efecto entre las variables que explican un fenómeno.</v>
      </c>
    </row>
    <row r="9" spans="1:10" ht="60" customHeight="1" x14ac:dyDescent="0.35">
      <c r="A9" s="3" t="s">
        <v>5</v>
      </c>
      <c r="B9" s="3" t="str">
        <f>TRIM('[1]UNIDAD 1'!E10)</f>
        <v>Exploro</v>
      </c>
      <c r="C9" s="3">
        <f>'[1]UNIDAD 1'!F10</f>
        <v>8</v>
      </c>
      <c r="D9" s="3">
        <f>'[1]UNIDAD 1'!H10</f>
        <v>6</v>
      </c>
      <c r="E9" s="2" t="str">
        <f>'[1]UNIDAD 1'!L10</f>
        <v>Modelando y diseñando experiencias para reconocer las variables que permiten obtener resultados y conclusiones.</v>
      </c>
      <c r="F9" s="3" t="str">
        <f>'[1]UNIDAD 1'!R10</f>
        <v>Reconocimiento</v>
      </c>
      <c r="G9" s="3" t="str">
        <f>'[1]UNIDAD 1'!P10</f>
        <v>ALTA</v>
      </c>
      <c r="H9" s="2" t="str">
        <f>'[1]UNIDAD 1'!J10</f>
        <v>Aspectos fisicoquímicos de las mezclas</v>
      </c>
      <c r="I9" s="2" t="str">
        <f>'[1]UNIDAD 1'!T10</f>
        <v>Presenta ejemplos y contraejemplos de variables que influyen en los resultados de un experimento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
      <c r="J9" s="2" t="str">
        <f>'[1]UNIDAD 1'!O10</f>
        <v>Identificar variables que explican un fenómeno.</v>
      </c>
    </row>
    <row r="10" spans="1:10" ht="75" customHeight="1" x14ac:dyDescent="0.35">
      <c r="A10" s="3" t="s">
        <v>5</v>
      </c>
      <c r="B10" s="3" t="str">
        <f>TRIM('[1]UNIDAD 1'!E11)</f>
        <v>Exploro</v>
      </c>
      <c r="C10" s="3">
        <f>'[1]UNIDAD 1'!F11</f>
        <v>9</v>
      </c>
      <c r="D10" s="3">
        <f>'[1]UNIDAD 1'!H11</f>
        <v>6</v>
      </c>
      <c r="E10" s="2" t="str">
        <f>'[1]UNIDAD 1'!L11</f>
        <v>Modelando y diseñando experiencias para reconocer las variables que permiten obtener resultados y conclusiones.</v>
      </c>
      <c r="F10" s="3" t="str">
        <f>'[1]UNIDAD 1'!R11</f>
        <v>Análisis</v>
      </c>
      <c r="G10" s="3" t="str">
        <f>'[1]UNIDAD 1'!P11</f>
        <v>MEDIA</v>
      </c>
      <c r="H10" s="2" t="str">
        <f>'[1]UNIDAD 1'!J11</f>
        <v>Aspectos fisicoquímicos de las mezclas</v>
      </c>
      <c r="I10" s="2" t="str">
        <f>'[1]UNIDAD 1'!T11</f>
        <v>Proporciona ejemplos concretos de variables que influyen en los resultados de un experimento y guía a los estudiantes para que comparen semejanzas y diferencias con un cuadro comparativo. Complementa pidiendo que identifique la variable independiente, la dependiente y la de control en un montaje sencillo. Verifica que el estudiante formule preguntas y analice resultados propios, y no solo responda preguntas cerradas.</v>
      </c>
      <c r="J10" s="2" t="str">
        <f>'[1]UNIDAD 1'!O11</f>
        <v>Contrastar la información obtenida en el proceso de indagación en la solución de situaciones problémicas.</v>
      </c>
    </row>
    <row r="11" spans="1:10" ht="60" customHeight="1" x14ac:dyDescent="0.35">
      <c r="A11" s="3" t="s">
        <v>5</v>
      </c>
      <c r="B11" s="3" t="str">
        <f>TRIM('[1]UNIDAD 1'!E12)</f>
        <v>Exploro</v>
      </c>
      <c r="C11" s="3" t="str">
        <f>'[1]UNIDAD 1'!F12</f>
        <v>10</v>
      </c>
      <c r="D11" s="3">
        <f>'[1]UNIDAD 1'!H12</f>
        <v>6</v>
      </c>
      <c r="E11" s="2" t="str">
        <f>'[1]UNIDAD 1'!L12</f>
        <v>Integrando las transformaciones de la materia con los cambios de las sustancias en la vida cotidiana.</v>
      </c>
      <c r="F11" s="3" t="str">
        <f>'[1]UNIDAD 1'!R12</f>
        <v>Análisis</v>
      </c>
      <c r="G11" s="3" t="str">
        <f>'[1]UNIDAD 1'!P12</f>
        <v>BAJA</v>
      </c>
      <c r="H11" s="2" t="str">
        <f>'[1]UNIDAD 1'!J12</f>
        <v>Aspectos fisicoquímicos de las sustancias</v>
      </c>
      <c r="I11" s="2" t="str">
        <f>'[1]UNIDAD 1'!T12</f>
        <v>Proporciona ejemplos concretos de cambios químicos en la vida cotidiana y en el ambiente y guía a los estudiantes para que comparen semejanzas y diferencias con un cuadro comparativo. Complementa con ejercicios de balanceo y estequiometría aplicados a ejemplos observables de la vida cotidiana. Verifica que el estudiante pueda juzgar la validez de una afirmación o de un modelo explicativo, y no solo describirlo.</v>
      </c>
      <c r="J11" s="2" t="str">
        <f>'[1]UNIDAD 1'!O12</f>
        <v>Distinguir por qué algunas sustancias flotan y otras se hunden por diferencias en la densidad.</v>
      </c>
    </row>
    <row r="12" spans="1:10" ht="75" customHeight="1" x14ac:dyDescent="0.35">
      <c r="A12" s="3" t="s">
        <v>5</v>
      </c>
      <c r="B12" s="3" t="str">
        <f>TRIM('[1]UNIDAD 1'!E13)</f>
        <v>Desarrollo</v>
      </c>
      <c r="C12" s="3">
        <f>'[1]UNIDAD 1'!F13</f>
        <v>1</v>
      </c>
      <c r="D12" s="3">
        <f>'[1]UNIDAD 1'!H13</f>
        <v>6</v>
      </c>
      <c r="E12" s="2" t="str">
        <f>'[1]UNIDAD 1'!L13</f>
        <v>Integrando las transformaciones de la materia con los cambios de las sustancias en la vida cotidiana.</v>
      </c>
      <c r="F12" s="3" t="str">
        <f>'[1]UNIDAD 1'!R13</f>
        <v>Reconocimiento</v>
      </c>
      <c r="G12" s="3" t="str">
        <f>'[1]UNIDAD 1'!P13</f>
        <v>MEDIA</v>
      </c>
      <c r="H12" s="2" t="str">
        <f>'[1]UNIDAD 1'!J13</f>
        <v>Aspectos fisicoquímicos de las mezclas</v>
      </c>
      <c r="I12" s="2" t="str">
        <f>'[1]UNIDAD 1'!T13</f>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12" s="2" t="str">
        <f>'[1]UNIDAD 1'!O13</f>
        <v>Identificar las características que permiten clasificar una mezcla como homogénea o heterogénea.</v>
      </c>
    </row>
    <row r="13" spans="1:10" ht="60" customHeight="1" x14ac:dyDescent="0.35">
      <c r="A13" s="3" t="s">
        <v>5</v>
      </c>
      <c r="B13" s="3" t="str">
        <f>TRIM('[1]UNIDAD 1'!E14)</f>
        <v>Desarrollo</v>
      </c>
      <c r="C13" s="3">
        <f>'[1]UNIDAD 1'!F14</f>
        <v>2</v>
      </c>
      <c r="D13" s="3">
        <f>'[1]UNIDAD 1'!H14</f>
        <v>6</v>
      </c>
      <c r="E13" s="2" t="str">
        <f>'[1]UNIDAD 1'!L14</f>
        <v>Procesando información registrando y midiendo de manera adecuada las observaciones del proceso de modelación científico.</v>
      </c>
      <c r="F13" s="3" t="str">
        <f>'[1]UNIDAD 1'!R14</f>
        <v>Aplicación</v>
      </c>
      <c r="G13" s="3" t="str">
        <f>'[1]UNIDAD 1'!P14</f>
        <v>ALTA</v>
      </c>
      <c r="H13" s="2" t="str">
        <f>'[1]UNIDAD 1'!J14</f>
        <v>Aspectos fisicoquímicos de las mezclas</v>
      </c>
      <c r="I13" s="2" t="str">
        <f>'[1]UNIDAD 1'!T14</f>
        <v>Realiza ejercicios prácticos guiados paso a paso sobre mis resultados en forma organizada y sin alteración alguna, retroalimentando el procedimiento y no solo el resultado. Complementa pidiendo que registre datos con unidades y cifras significativas correctas. Verifica que el estudiante formule preguntas y analice resultados propios, y no solo responda preguntas cerradas.</v>
      </c>
      <c r="J13" s="2" t="str">
        <f>'[1]UNIDAD 1'!O14</f>
        <v>Registrar las observaciones de un experimento sin alterar los resultados.</v>
      </c>
    </row>
    <row r="14" spans="1:10" ht="60" customHeight="1" x14ac:dyDescent="0.35">
      <c r="A14" s="3" t="s">
        <v>5</v>
      </c>
      <c r="B14" s="3" t="str">
        <f>TRIM('[1]UNIDAD 1'!E15)</f>
        <v>Desarrollo</v>
      </c>
      <c r="C14" s="3">
        <f>'[1]UNIDAD 1'!F15</f>
        <v>3</v>
      </c>
      <c r="D14" s="3">
        <f>'[1]UNIDAD 1'!H15</f>
        <v>6</v>
      </c>
      <c r="E14" s="2" t="str">
        <f>'[1]UNIDAD 1'!L15</f>
        <v>Comunicando el proceso de indagación en modelación científica.</v>
      </c>
      <c r="F14" s="3" t="str">
        <f>'[1]UNIDAD 1'!R15</f>
        <v>Reconocimiento</v>
      </c>
      <c r="G14" s="3" t="str">
        <f>'[1]UNIDAD 1'!P15</f>
        <v>BAJA</v>
      </c>
      <c r="H14" s="2" t="str">
        <f>'[1]UNIDAD 1'!J15</f>
        <v>Aspectos fisicoquímicos de las mezclas</v>
      </c>
      <c r="I14" s="2" t="str">
        <f>'[1]UNIDAD 1'!T15</f>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14" s="2" t="str">
        <f>'[1]UNIDAD 1'!O15</f>
        <v>Identificar el mejor título de un experimento.</v>
      </c>
    </row>
    <row r="15" spans="1:10" ht="75" customHeight="1" x14ac:dyDescent="0.35">
      <c r="A15" s="3" t="s">
        <v>5</v>
      </c>
      <c r="B15" s="3" t="str">
        <f>TRIM('[1]UNIDAD 1'!E16)</f>
        <v>Desarrollo</v>
      </c>
      <c r="C15" s="3">
        <f>'[1]UNIDAD 1'!F16</f>
        <v>4</v>
      </c>
      <c r="D15" s="3">
        <f>'[1]UNIDAD 1'!H16</f>
        <v>6</v>
      </c>
      <c r="E15" s="2" t="str">
        <f>'[1]UNIDAD 1'!L16</f>
        <v>Integrando las transformaciones de la materia con los cambios de las sustancias en la vida cotidiana.</v>
      </c>
      <c r="F15" s="3" t="str">
        <f>'[1]UNIDAD 1'!R16</f>
        <v>Reconocimiento</v>
      </c>
      <c r="G15" s="3" t="str">
        <f>'[1]UNIDAD 1'!P16</f>
        <v>ALTA</v>
      </c>
      <c r="H15" s="2" t="str">
        <f>'[1]UNIDAD 1'!J16</f>
        <v>Aspectos fisicoquímicos de las sustancias</v>
      </c>
      <c r="I15" s="2" t="str">
        <f>'[1]UNIDAD 1'!T16</f>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15" s="2" t="str">
        <f>'[1]UNIDAD 1'!O16</f>
        <v>Identificar que cuando se mezclan dos sustancias y se forma un precipitado, un gas o aparece una coloración, se está presentado un cambio químico.</v>
      </c>
    </row>
    <row r="16" spans="1:10" ht="60" customHeight="1" x14ac:dyDescent="0.35">
      <c r="A16" s="3" t="s">
        <v>5</v>
      </c>
      <c r="B16" s="3" t="str">
        <f>TRIM('[1]UNIDAD 1'!E17)</f>
        <v>Desarrollo</v>
      </c>
      <c r="C16" s="3">
        <f>'[1]UNIDAD 1'!F17</f>
        <v>5</v>
      </c>
      <c r="D16" s="3">
        <f>'[1]UNIDAD 1'!H17</f>
        <v>6</v>
      </c>
      <c r="E16" s="2" t="str">
        <f>'[1]UNIDAD 1'!L17</f>
        <v>Procesando información registrando y midiendo de manera adecuada las observaciones del proceso de modelación científico.</v>
      </c>
      <c r="F16" s="3" t="str">
        <f>'[1]UNIDAD 1'!R17</f>
        <v>Aplicación</v>
      </c>
      <c r="G16" s="3" t="str">
        <f>'[1]UNIDAD 1'!P17</f>
        <v>BAJA</v>
      </c>
      <c r="H16" s="2" t="str">
        <f>'[1]UNIDAD 1'!J17</f>
        <v>Aspectos fisicoquímicos de las sustancias</v>
      </c>
      <c r="I16" s="2" t="str">
        <f>'[1]UNIDAD 1'!T17</f>
        <v>Realiza ejercicios prácticos guiados paso a paso sobre mis resultados en forma organizada y sin alteración alguna, retroalimentando el procedimiento y no solo el resultado. Complementa pidiendo que registre datos con unidades y cifras significativas correctas. Verifica que el estudiante formule preguntas y analice resultados propios, y no solo responda preguntas cerradas.</v>
      </c>
      <c r="J16" s="2" t="str">
        <f>'[1]UNIDAD 1'!O17</f>
        <v>Registrar las observaciones de un experimento sin alterar los resultados.</v>
      </c>
    </row>
    <row r="17" spans="1:10" ht="60" customHeight="1" x14ac:dyDescent="0.35">
      <c r="A17" s="3" t="s">
        <v>5</v>
      </c>
      <c r="B17" s="3" t="str">
        <f>TRIM('[1]UNIDAD 1'!E18)</f>
        <v>Desarrollo</v>
      </c>
      <c r="C17" s="3">
        <f>'[1]UNIDAD 1'!F18</f>
        <v>6</v>
      </c>
      <c r="D17" s="3">
        <f>'[1]UNIDAD 1'!H18</f>
        <v>6</v>
      </c>
      <c r="E17" s="2" t="str">
        <f>'[1]UNIDAD 1'!L18</f>
        <v>Comunicando el proceso de indagación en modelación científica.</v>
      </c>
      <c r="F17" s="3" t="str">
        <f>'[1]UNIDAD 1'!R18</f>
        <v>Reconocimiento</v>
      </c>
      <c r="G17" s="3" t="str">
        <f>'[1]UNIDAD 1'!P18</f>
        <v>MEDIA</v>
      </c>
      <c r="H17" s="2" t="str">
        <f>'[1]UNIDAD 1'!J18</f>
        <v>Aspectos fisicoquímicos de las sustancias</v>
      </c>
      <c r="I17" s="2" t="str">
        <f>'[1]UNIDAD 1'!T18</f>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17" s="2" t="str">
        <f>'[1]UNIDAD 1'!O18</f>
        <v>Identificar el mejor título de un experimento.</v>
      </c>
    </row>
    <row r="18" spans="1:10" ht="60" customHeight="1" x14ac:dyDescent="0.35">
      <c r="A18" s="3" t="s">
        <v>5</v>
      </c>
      <c r="B18" s="3" t="str">
        <f>TRIM('[1]UNIDAD 1'!E19)</f>
        <v>Desarrollo</v>
      </c>
      <c r="C18" s="3">
        <f>'[1]UNIDAD 1'!F19</f>
        <v>7</v>
      </c>
      <c r="D18" s="3">
        <f>'[1]UNIDAD 1'!H19</f>
        <v>6</v>
      </c>
      <c r="E18" s="2" t="str">
        <f>'[1]UNIDAD 1'!L19</f>
        <v>Integrando las transformaciones de la materia con los cambios de las sustancias en la vida cotidiana.</v>
      </c>
      <c r="F18" s="3" t="str">
        <f>'[1]UNIDAD 1'!R19</f>
        <v>Indagación</v>
      </c>
      <c r="G18" s="3" t="str">
        <f>'[1]UNIDAD 1'!P19</f>
        <v>BAJA</v>
      </c>
      <c r="H18" s="2" t="str">
        <f>'[1]UNIDAD 1'!J19</f>
        <v>Aspectos analíticos de las sustancias</v>
      </c>
      <c r="I18" s="2" t="str">
        <f>'[1]UNIDAD 1'!T19</f>
        <v>Guía a los estudiantes en el diseño de un pequeño experimento o la formulación de una hipótesis relacionada con cambios químicos en la vida cotidiana y en el ambiente. Complementa con ejercicios de balanceo y estequiometría aplicados a ejemplos observables de la vida cotidiana. Verifica que el estudiante no se limite a repetir el concepto, sino que lo use para resolver un problema distinto al trabajado en clase.</v>
      </c>
      <c r="J18" s="2" t="str">
        <f>'[1]UNIDAD 1'!O19</f>
        <v>Establecer la relación que hay entre la cohesión y la repulsión de los diferentes estado de la materia.</v>
      </c>
    </row>
    <row r="19" spans="1:10" ht="60" customHeight="1" x14ac:dyDescent="0.35">
      <c r="A19" s="3" t="s">
        <v>5</v>
      </c>
      <c r="B19" s="3" t="str">
        <f>TRIM('[1]UNIDAD 1'!E20)</f>
        <v>Desarrollo</v>
      </c>
      <c r="C19" s="3" t="str">
        <f>'[1]UNIDAD 1'!F20</f>
        <v>8</v>
      </c>
      <c r="D19" s="3">
        <f>'[1]UNIDAD 1'!H20</f>
        <v>6</v>
      </c>
      <c r="E19" s="2" t="str">
        <f>'[1]UNIDAD 1'!L20</f>
        <v>Integrando las transformaciones de la materia con los cambios de las sustancias en la vida cotidiana.</v>
      </c>
      <c r="F19" s="3" t="str">
        <f>'[1]UNIDAD 1'!R20</f>
        <v>Argumentación</v>
      </c>
      <c r="G19" s="3" t="str">
        <f>'[1]UNIDAD 1'!P20</f>
        <v>ALTA</v>
      </c>
      <c r="H19" s="2" t="str">
        <f>'[1]UNIDAD 1'!J20</f>
        <v>Aspectos analíticos de las sustancias</v>
      </c>
      <c r="I19" s="2" t="str">
        <f>'[1]UNIDAD 1'!T20</f>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
      <c r="J19" s="2" t="str">
        <f>'[1]UNIDAD 1'!O20</f>
        <v>Argumentar como a partir de la cohesión o la repulsión se organizan las moléculas de una sustancia en sus diferentes estados.</v>
      </c>
    </row>
    <row r="20" spans="1:10" ht="75" customHeight="1" x14ac:dyDescent="0.35">
      <c r="A20" s="3" t="s">
        <v>5</v>
      </c>
      <c r="B20" s="3" t="str">
        <f>TRIM('[1]UNIDAD 1'!E21)</f>
        <v>Desarrollo</v>
      </c>
      <c r="C20" s="3">
        <f>'[1]UNIDAD 1'!F21</f>
        <v>9</v>
      </c>
      <c r="D20" s="3">
        <f>'[1]UNIDAD 1'!H21</f>
        <v>6</v>
      </c>
      <c r="E20" s="2" t="str">
        <f>'[1]UNIDAD 1'!L21</f>
        <v>Integrando las transformaciones de la materia con los cambios de las sustancias en la vida cotidiana.</v>
      </c>
      <c r="F20" s="3" t="str">
        <f>'[1]UNIDAD 1'!R21</f>
        <v>Reconocimiento</v>
      </c>
      <c r="G20" s="3" t="str">
        <f>'[1]UNIDAD 1'!P21</f>
        <v>BAJA</v>
      </c>
      <c r="H20" s="2" t="str">
        <f>'[1]UNIDAD 1'!J21</f>
        <v>Aspectos analíticos de las mezclas</v>
      </c>
      <c r="I20" s="2" t="str">
        <f>'[1]UNIDAD 1'!T21</f>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20" s="2" t="str">
        <f>'[1]UNIDAD 1'!O21</f>
        <v>Identificar las características de una sustancia que se obtiene después de aplicar un método de separación.</v>
      </c>
    </row>
    <row r="21" spans="1:10" ht="60" customHeight="1" x14ac:dyDescent="0.35">
      <c r="A21" s="3" t="s">
        <v>5</v>
      </c>
      <c r="B21" s="3" t="str">
        <f>TRIM('[1]UNIDAD 1'!E22)</f>
        <v>Desarrollo</v>
      </c>
      <c r="C21" s="3">
        <f>'[1]UNIDAD 1'!F22</f>
        <v>10</v>
      </c>
      <c r="D21" s="3">
        <f>'[1]UNIDAD 1'!H22</f>
        <v>6</v>
      </c>
      <c r="E21" s="2" t="str">
        <f>'[1]UNIDAD 1'!L22</f>
        <v>Integrando las transformaciones de la materia con los cambios de las sustancias en la vida cotidiana.</v>
      </c>
      <c r="F21" s="3" t="str">
        <f>'[1]UNIDAD 1'!R22</f>
        <v>Indagación</v>
      </c>
      <c r="G21" s="3" t="str">
        <f>'[1]UNIDAD 1'!P22</f>
        <v>MEDIA</v>
      </c>
      <c r="H21" s="2" t="str">
        <f>'[1]UNIDAD 1'!J22</f>
        <v>Aspectos analíticos de las mezclas</v>
      </c>
      <c r="I21" s="2" t="str">
        <f>'[1]UNIDAD 1'!T22</f>
        <v>Guía a los estudiantes en el diseño de un pequeño experimento o la formulación de una hipótesis relacionada con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
      <c r="J21" s="2" t="str">
        <f>'[1]UNIDAD 1'!O22</f>
        <v>Establecer por qué se utiliza un determinado método de separación de acuerdo a las características de la mezcla.</v>
      </c>
    </row>
    <row r="22" spans="1:10" ht="60" customHeight="1" x14ac:dyDescent="0.35">
      <c r="A22" s="3" t="s">
        <v>5</v>
      </c>
      <c r="B22" s="3" t="str">
        <f>TRIM('[1]UNIDAD 1'!E23)</f>
        <v>Desarrollo</v>
      </c>
      <c r="C22" s="3">
        <f>'[1]UNIDAD 1'!F23</f>
        <v>11</v>
      </c>
      <c r="D22" s="3">
        <f>'[1]UNIDAD 1'!H23</f>
        <v>6</v>
      </c>
      <c r="E22" s="2" t="str">
        <f>'[1]UNIDAD 1'!L23</f>
        <v>Integrando las transformaciones de la materia con los cambios de las sustancias en la vida cotidiana.</v>
      </c>
      <c r="F22" s="3" t="str">
        <f>'[1]UNIDAD 1'!R23</f>
        <v>Argumentación</v>
      </c>
      <c r="G22" s="3" t="str">
        <f>'[1]UNIDAD 1'!P23</f>
        <v>MEDIA</v>
      </c>
      <c r="H22" s="2" t="str">
        <f>'[1]UNIDAD 1'!J23</f>
        <v>Aspectos fisicoquímicos de las sustancias</v>
      </c>
      <c r="I22" s="2" t="str">
        <f>'[1]UNIDAD 1'!T23</f>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
      <c r="J22" s="2" t="str">
        <f>'[1]UNIDAD 1'!O23</f>
        <v>Explicar cómo se afecta la solubilidad de una sustancia cuando se modifica la temperatura, la cantidad de disolvente o la cantidad de soluto.</v>
      </c>
    </row>
    <row r="23" spans="1:10" ht="60" customHeight="1" x14ac:dyDescent="0.35">
      <c r="A23" s="3" t="s">
        <v>5</v>
      </c>
      <c r="B23" s="3" t="str">
        <f>TRIM('[1]UNIDAD 1'!E24)</f>
        <v>Desarrollo</v>
      </c>
      <c r="C23" s="3">
        <f>'[1]UNIDAD 1'!F24</f>
        <v>12</v>
      </c>
      <c r="D23" s="3">
        <f>'[1]UNIDAD 1'!H24</f>
        <v>6</v>
      </c>
      <c r="E23" s="2" t="str">
        <f>'[1]UNIDAD 1'!L24</f>
        <v>Integrando las transformaciones de la materia con los cambios de las sustancias en la vida cotidiana.</v>
      </c>
      <c r="F23" s="3" t="str">
        <f>'[1]UNIDAD 1'!R24</f>
        <v>Argumentación</v>
      </c>
      <c r="G23" s="3" t="str">
        <f>'[1]UNIDAD 1'!P24</f>
        <v>MEDIA</v>
      </c>
      <c r="H23" s="2" t="str">
        <f>'[1]UNIDAD 1'!J24</f>
        <v>Aspectos fisicoquímicos de las sustancias</v>
      </c>
      <c r="I23" s="2" t="str">
        <f>'[1]UNIDAD 1'!T24</f>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
      <c r="J23" s="2" t="str">
        <f>'[1]UNIDAD 1'!O24</f>
        <v>Explicar los procesos de separación de mezclas sólido-líquido, de acuerdo a las propiedades físicas de la mezcla, en sistemas homogéneos y heterogéneos.</v>
      </c>
    </row>
    <row r="24" spans="1:10" ht="75" customHeight="1" x14ac:dyDescent="0.35">
      <c r="A24" s="3" t="s">
        <v>5</v>
      </c>
      <c r="B24" s="3" t="str">
        <f>TRIM('[1]UNIDAD 1'!E25)</f>
        <v>Desarrollo</v>
      </c>
      <c r="C24" s="3">
        <f>'[1]UNIDAD 1'!F25</f>
        <v>13</v>
      </c>
      <c r="D24" s="3">
        <f>'[1]UNIDAD 1'!H25</f>
        <v>6</v>
      </c>
      <c r="E24" s="2" t="str">
        <f>'[1]UNIDAD 1'!L25</f>
        <v>Integrando las transformaciones de la materia con los cambios de las sustancias en la vida cotidiana.</v>
      </c>
      <c r="F24" s="3" t="str">
        <f>'[1]UNIDAD 1'!R25</f>
        <v>Reconocimiento</v>
      </c>
      <c r="G24" s="3" t="str">
        <f>'[1]UNIDAD 1'!P25</f>
        <v>BAJA</v>
      </c>
      <c r="H24" s="2" t="str">
        <f>'[1]UNIDAD 1'!J25</f>
        <v>Aspectos fisicoquímicos de las sustancias</v>
      </c>
      <c r="I24" s="2" t="str">
        <f>'[1]UNIDAD 1'!T25</f>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24" s="2" t="str">
        <f>'[1]UNIDAD 1'!O25</f>
        <v>Clasificar cuál o cuáles mezclas son homogéneas y heterogéneas de acuerdo con sus propiedades.</v>
      </c>
    </row>
    <row r="25" spans="1:10" ht="75" customHeight="1" x14ac:dyDescent="0.35">
      <c r="A25" s="3" t="s">
        <v>5</v>
      </c>
      <c r="B25" s="3" t="str">
        <f>TRIM('[1]UNIDAD 1'!E26)</f>
        <v>Desarrollo</v>
      </c>
      <c r="C25" s="3">
        <f>'[1]UNIDAD 1'!F26</f>
        <v>14</v>
      </c>
      <c r="D25" s="3">
        <f>'[1]UNIDAD 1'!H26</f>
        <v>6</v>
      </c>
      <c r="E25" s="2" t="str">
        <f>'[1]UNIDAD 1'!L26</f>
        <v>Evaluando descripciones, evidencias y explicaciones de la comunicación en el trabajo científico.</v>
      </c>
      <c r="F25" s="3" t="str">
        <f>'[1]UNIDAD 1'!R26</f>
        <v>Análisis</v>
      </c>
      <c r="G25" s="3" t="str">
        <f>'[1]UNIDAD 1'!P26</f>
        <v>ALTA</v>
      </c>
      <c r="H25" s="2" t="str">
        <f>'[1]UNIDAD 1'!J26</f>
        <v>Aspectos analíticos de las mezclas</v>
      </c>
      <c r="I25" s="2" t="str">
        <f>'[1]UNIDAD 1'!T26</f>
        <v>Proporciona ejemplos concretos de diferencias entre descripción, explicación y evidencia y guía a los estudiantes para que comparen semejanzas y diferencias con un cuadro comparativo. Complementa pidiendo que distinga, en un mismo texto, qué es descripción, qué es evidencia y qué es explicación. Verifica que el estudiante formule preguntas y analice resultados propios, y no solo responda preguntas cerradas.</v>
      </c>
      <c r="J25" s="2" t="str">
        <f>'[1]UNIDAD 1'!O26</f>
        <v>Diferenciar una descripción, una explicación y una evidencia.</v>
      </c>
    </row>
    <row r="26" spans="1:10" ht="75" customHeight="1" x14ac:dyDescent="0.35">
      <c r="A26" s="3" t="s">
        <v>5</v>
      </c>
      <c r="B26" s="3" t="str">
        <f>TRIM('[1]UNIDAD 1'!E27)</f>
        <v>Desarrollo</v>
      </c>
      <c r="C26" s="3">
        <f>'[1]UNIDAD 1'!F27</f>
        <v>15</v>
      </c>
      <c r="D26" s="3">
        <f>'[1]UNIDAD 1'!H27</f>
        <v>6</v>
      </c>
      <c r="E26" s="2" t="str">
        <f>'[1]UNIDAD 1'!L27</f>
        <v>Integrando las transformaciones de la materia con los cambios de las sustancias en la vida cotidiana.</v>
      </c>
      <c r="F26" s="3" t="str">
        <f>'[1]UNIDAD 1'!R27</f>
        <v>Reconocimiento</v>
      </c>
      <c r="G26" s="3" t="str">
        <f>'[1]UNIDAD 1'!P27</f>
        <v>BAJA</v>
      </c>
      <c r="H26" s="2" t="str">
        <f>'[1]UNIDAD 1'!J27</f>
        <v>Aspectos fisicoquímicos de las sustancias</v>
      </c>
      <c r="I26" s="2" t="str">
        <f>'[1]UNIDAD 1'!T27</f>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26" s="2" t="str">
        <f>'[1]UNIDAD 1'!O27</f>
        <v>Identificar cuál es la propiedad que define a un estado de acuerdo a la organización de las partículas (la densidad, la cohesión, la repulsión, la difusión, entre otras).</v>
      </c>
    </row>
    <row r="27" spans="1:10" ht="75" customHeight="1" x14ac:dyDescent="0.35">
      <c r="A27" s="3" t="s">
        <v>5</v>
      </c>
      <c r="B27" s="3" t="str">
        <f>TRIM('[1]UNIDAD 1'!E28)</f>
        <v>Aplico</v>
      </c>
      <c r="C27" s="3" t="str">
        <f>'[1]UNIDAD 1'!F28</f>
        <v>1</v>
      </c>
      <c r="D27" s="3">
        <f>'[1]UNIDAD 1'!H28</f>
        <v>6</v>
      </c>
      <c r="E27" s="2" t="str">
        <f>'[1]UNIDAD 1'!L28</f>
        <v>Integrando las transformaciones de la materia con los cambios de las sustancias en la vida cotidiana.</v>
      </c>
      <c r="F27" s="3" t="str">
        <f>'[1]UNIDAD 1'!R28</f>
        <v>Reconocimiento</v>
      </c>
      <c r="G27" s="3" t="str">
        <f>'[1]UNIDAD 1'!P28</f>
        <v>BAJA</v>
      </c>
      <c r="H27" s="2" t="str">
        <f>'[1]UNIDAD 1'!J28</f>
        <v>Aspectos analíticos de las sustancias</v>
      </c>
      <c r="I27" s="2" t="str">
        <f>'[1]UNIDAD 1'!T28</f>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27" s="2" t="str">
        <f>'[1]UNIDAD 1'!O28</f>
        <v>Identificar diferentes formas de medir la masa de los sólidos, líquidos o gases.</v>
      </c>
    </row>
    <row r="28" spans="1:10" ht="75" customHeight="1" x14ac:dyDescent="0.35">
      <c r="A28" s="3" t="s">
        <v>5</v>
      </c>
      <c r="B28" s="3" t="str">
        <f>TRIM('[1]UNIDAD 1'!E29)</f>
        <v>Aplico</v>
      </c>
      <c r="C28" s="3" t="str">
        <f>'[1]UNIDAD 1'!F29</f>
        <v>2</v>
      </c>
      <c r="D28" s="3">
        <f>'[1]UNIDAD 1'!H29</f>
        <v>6</v>
      </c>
      <c r="E28" s="2" t="str">
        <f>'[1]UNIDAD 1'!L29</f>
        <v>Modelando y diseñando experiencias para reconocer las variables que permiten obtener resultados y conclusiones.</v>
      </c>
      <c r="F28" s="3" t="str">
        <f>'[1]UNIDAD 1'!R29</f>
        <v>Reconocimiento</v>
      </c>
      <c r="G28" s="3" t="str">
        <f>'[1]UNIDAD 1'!P29</f>
        <v>MEDIA</v>
      </c>
      <c r="H28" s="2" t="str">
        <f>'[1]UNIDAD 1'!J29</f>
        <v>Aspectos fisicoquímicos de las mezclas</v>
      </c>
      <c r="I28" s="2" t="str">
        <f>'[1]UNIDAD 1'!T29</f>
        <v>Presenta ejemplos y contraejemplos de y realizo experimentos y verifico el efecto de modificar diversas variables para dar respuesta a preguntas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
      <c r="J28" s="2" t="str">
        <f>'[1]UNIDAD 1'!O29</f>
        <v>Identificar las variables presentes en una investigación o en un experimento.</v>
      </c>
    </row>
    <row r="29" spans="1:10" ht="75" customHeight="1" x14ac:dyDescent="0.35">
      <c r="A29" s="3" t="s">
        <v>4</v>
      </c>
      <c r="B29" s="3" t="str">
        <f>TRIM('[1]UNIDAD 2'!E3)</f>
        <v>Exploro</v>
      </c>
      <c r="C29" s="3" t="str">
        <f>'[1]UNIDAD 2'!F3</f>
        <v>1</v>
      </c>
      <c r="D29" s="3">
        <f>'[1]UNIDAD 2'!H3</f>
        <v>6</v>
      </c>
      <c r="E29" s="2" t="str">
        <f>'[1]UNIDAD 2'!L3</f>
        <v>Interactuando con las propiedades y clasificación de la materia en sistemas físicos, químicos y biológicos.</v>
      </c>
      <c r="F29" s="3" t="str">
        <f>'[1]UNIDAD 2'!R3</f>
        <v>Argumentación</v>
      </c>
      <c r="G29" s="3" t="str">
        <f>'[1]UNIDAD 2'!P3</f>
        <v>BAJA</v>
      </c>
      <c r="H29" s="2" t="str">
        <f>'[1]UNIDAD 2'!J3</f>
        <v>Aspectos analíticos de las sustancias</v>
      </c>
      <c r="I29" s="2" t="str">
        <f>'[1]UNIDAD 2'!T3</f>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
      <c r="J29" s="2" t="str">
        <f>'[1]UNIDAD 2'!O3</f>
        <v>Explicar la relación entre el número atómico y la masa atómica.</v>
      </c>
    </row>
    <row r="30" spans="1:10" ht="75" customHeight="1" x14ac:dyDescent="0.35">
      <c r="A30" s="3" t="s">
        <v>4</v>
      </c>
      <c r="B30" s="3" t="str">
        <f>TRIM('[1]UNIDAD 2'!E4)</f>
        <v>Exploro</v>
      </c>
      <c r="C30" s="3">
        <f>'[1]UNIDAD 2'!F4</f>
        <v>2</v>
      </c>
      <c r="D30" s="3">
        <f>'[1]UNIDAD 2'!H4</f>
        <v>6</v>
      </c>
      <c r="E30" s="2" t="str">
        <f>'[1]UNIDAD 2'!L4</f>
        <v>Interactuando con las propiedades y clasificación de la materia en sistemas físicos, químicos y biológicos.</v>
      </c>
      <c r="F30" s="3" t="str">
        <f>'[1]UNIDAD 2'!R4</f>
        <v>Reconocimiento</v>
      </c>
      <c r="G30" s="3" t="str">
        <f>'[1]UNIDAD 2'!P4</f>
        <v>BAJA</v>
      </c>
      <c r="H30" s="2" t="str">
        <f>'[1]UNIDAD 2'!J4</f>
        <v>Aspectos analíticos de las sustancias</v>
      </c>
      <c r="I30" s="2" t="str">
        <f>'[1]UNIDAD 2'!T4</f>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
      <c r="J30" s="2" t="str">
        <f>'[1]UNIDAD 2'!O4</f>
        <v>Identificar la propiedad que permite clasificar un grupo de elementos de la tabla periódica.</v>
      </c>
    </row>
    <row r="31" spans="1:10" ht="75" customHeight="1" x14ac:dyDescent="0.35">
      <c r="A31" s="3" t="s">
        <v>4</v>
      </c>
      <c r="B31" s="3" t="str">
        <f>TRIM('[1]UNIDAD 2'!E5)</f>
        <v>Exploro</v>
      </c>
      <c r="C31" s="3">
        <f>'[1]UNIDAD 2'!F5</f>
        <v>3</v>
      </c>
      <c r="D31" s="3">
        <f>'[1]UNIDAD 2'!H5</f>
        <v>6</v>
      </c>
      <c r="E31" s="2" t="str">
        <f>'[1]UNIDAD 2'!L5</f>
        <v>Modelando y diseñando experiencias para reconocer las variables que permiten obtener resultados y conclusiones.</v>
      </c>
      <c r="F31" s="3" t="str">
        <f>'[1]UNIDAD 2'!R5</f>
        <v>Indagación</v>
      </c>
      <c r="G31" s="3" t="str">
        <f>'[1]UNIDAD 2'!P5</f>
        <v>ALTA</v>
      </c>
      <c r="H31" s="2" t="str">
        <f>'[1]UNIDAD 2'!J5</f>
        <v>Aspectos fisicoquímicos de las sustancias</v>
      </c>
      <c r="I31" s="2" t="str">
        <f>'[1]UNIDAD 2'!T5</f>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
      <c r="J31" s="2" t="str">
        <f>'[1]UNIDAD 2'!O5</f>
        <v>Establecer preguntas o hipótesis concretas a partir de resultados, tablas, gráficas y procedimientos.</v>
      </c>
    </row>
    <row r="32" spans="1:10" ht="75" customHeight="1" x14ac:dyDescent="0.35">
      <c r="A32" s="3" t="s">
        <v>4</v>
      </c>
      <c r="B32" s="3" t="str">
        <f>TRIM('[1]UNIDAD 2'!E6)</f>
        <v>Exploro</v>
      </c>
      <c r="C32" s="3" t="str">
        <f>'[1]UNIDAD 2'!F6</f>
        <v>4</v>
      </c>
      <c r="D32" s="3">
        <f>'[1]UNIDAD 2'!H6</f>
        <v>6</v>
      </c>
      <c r="E32" s="2" t="str">
        <f>'[1]UNIDAD 2'!L6</f>
        <v>Modelando y diseñando experiencias para reconocer las variables que permiten obtener resultados y conclusiones.</v>
      </c>
      <c r="F32" s="3" t="str">
        <f>'[1]UNIDAD 2'!R6</f>
        <v>Indagación</v>
      </c>
      <c r="G32" s="3" t="str">
        <f>'[1]UNIDAD 2'!P6</f>
        <v>MEDIA</v>
      </c>
      <c r="H32" s="2" t="str">
        <f>'[1]UNIDAD 2'!J6</f>
        <v>Aspectos fisicoquímicos de las sustancias</v>
      </c>
      <c r="I32" s="2" t="str">
        <f>'[1]UNIDAD 2'!T6</f>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
      <c r="J32" s="2" t="str">
        <f>'[1]UNIDAD 2'!O6</f>
        <v>Establecer las variables que afectas un experimento a partir de información de graficas, tablas o modelos.</v>
      </c>
    </row>
    <row r="33" spans="1:10" ht="75" customHeight="1" x14ac:dyDescent="0.35">
      <c r="A33" s="3" t="s">
        <v>4</v>
      </c>
      <c r="B33" s="3" t="str">
        <f>TRIM('[1]UNIDAD 2'!E7)</f>
        <v>Exploro</v>
      </c>
      <c r="C33" s="3">
        <f>'[1]UNIDAD 2'!F7</f>
        <v>5</v>
      </c>
      <c r="D33" s="3">
        <f>'[1]UNIDAD 2'!H7</f>
        <v>6</v>
      </c>
      <c r="E33" s="2" t="str">
        <f>'[1]UNIDAD 2'!L7</f>
        <v>Interactuando con las propiedades y clasificación de la materia en sistemas físicos, químicos y biológicos.</v>
      </c>
      <c r="F33" s="3" t="str">
        <f>'[1]UNIDAD 2'!R7</f>
        <v>Argumentación</v>
      </c>
      <c r="G33" s="3" t="str">
        <f>'[1]UNIDAD 2'!P7</f>
        <v>ALTA</v>
      </c>
      <c r="H33" s="2" t="str">
        <f>'[1]UNIDAD 2'!J7</f>
        <v>Aspectos analíticos de las sustancias</v>
      </c>
      <c r="I33" s="2" t="str">
        <f>'[1]UNIDAD 2'!T7</f>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
      <c r="J33" s="2" t="str">
        <f>'[1]UNIDAD 2'!O7</f>
        <v>Explicar a partir de gráficas de enlace químico, por qué el tamaño atómico cambia.</v>
      </c>
    </row>
    <row r="34" spans="1:10" ht="75" customHeight="1" x14ac:dyDescent="0.35">
      <c r="A34" s="3" t="s">
        <v>4</v>
      </c>
      <c r="B34" s="3" t="str">
        <f>TRIM('[1]UNIDAD 2'!E8)</f>
        <v>Exploro</v>
      </c>
      <c r="C34" s="3">
        <f>'[1]UNIDAD 2'!F8</f>
        <v>6</v>
      </c>
      <c r="D34" s="3">
        <f>'[1]UNIDAD 2'!H8</f>
        <v>6</v>
      </c>
      <c r="E34" s="2" t="str">
        <f>'[1]UNIDAD 2'!L8</f>
        <v>Interactuando con las propiedades y clasificación de la materia en sistemas físicos, químicos y biológicos.</v>
      </c>
      <c r="F34" s="3" t="str">
        <f>'[1]UNIDAD 2'!R8</f>
        <v>Argumentación</v>
      </c>
      <c r="G34" s="3" t="str">
        <f>'[1]UNIDAD 2'!P8</f>
        <v>MEDIA</v>
      </c>
      <c r="H34" s="2" t="str">
        <f>'[1]UNIDAD 2'!J8</f>
        <v>Aspectos analíticos de las sustancias</v>
      </c>
      <c r="I34" s="2" t="str">
        <f>'[1]UNIDAD 2'!T8</f>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
      <c r="J34" s="2" t="str">
        <f>'[1]UNIDAD 2'!O8</f>
        <v>Explicar qué tipo de enlace químico se forma a partir de información como configuración electrónica, propiedades periódicas, gráficas o tablas periódicas.</v>
      </c>
    </row>
    <row r="35" spans="1:10" ht="75" customHeight="1" x14ac:dyDescent="0.35">
      <c r="A35" s="3" t="s">
        <v>4</v>
      </c>
      <c r="B35" s="3" t="str">
        <f>TRIM('[1]UNIDAD 2'!E9)</f>
        <v>Exploro</v>
      </c>
      <c r="C35" s="3" t="str">
        <f>'[1]UNIDAD 2'!F9</f>
        <v>7</v>
      </c>
      <c r="D35" s="3">
        <f>'[1]UNIDAD 2'!H9</f>
        <v>6</v>
      </c>
      <c r="E35" s="2" t="str">
        <f>'[1]UNIDAD 2'!L9</f>
        <v>Modelando y diseñando experiencias para reconocer las variables que permiten obtener resultados y conclusiones.</v>
      </c>
      <c r="F35" s="3" t="str">
        <f>'[1]UNIDAD 2'!R9</f>
        <v>Indagación</v>
      </c>
      <c r="G35" s="3" t="str">
        <f>'[1]UNIDAD 2'!P9</f>
        <v>BAJA</v>
      </c>
      <c r="H35" s="2" t="str">
        <f>'[1]UNIDAD 2'!J9</f>
        <v>Aspectos fisicoquímicos de las sustancias</v>
      </c>
      <c r="I35" s="2" t="str">
        <f>'[1]UNIDAD 2'!T9</f>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
      <c r="J35" s="2" t="str">
        <f>'[1]UNIDAD 2'!O9</f>
        <v>Establecer la variable que afecta un experimento a partir de información de graficas, tablas o modelos.</v>
      </c>
    </row>
    <row r="36" spans="1:10" ht="75" customHeight="1" x14ac:dyDescent="0.35">
      <c r="A36" s="3" t="s">
        <v>4</v>
      </c>
      <c r="B36" s="3" t="str">
        <f>TRIM('[1]UNIDAD 2'!E10)</f>
        <v>Exploro</v>
      </c>
      <c r="C36" s="3">
        <f>'[1]UNIDAD 2'!F10</f>
        <v>8</v>
      </c>
      <c r="D36" s="3">
        <f>'[1]UNIDAD 2'!H10</f>
        <v>6</v>
      </c>
      <c r="E36" s="2" t="str">
        <f>'[1]UNIDAD 2'!L10</f>
        <v>Evaluando descripciones, evidencias y explicaciones de la comunicación en el trabajo científico.</v>
      </c>
      <c r="F36" s="3" t="str">
        <f>'[1]UNIDAD 2'!R10</f>
        <v>Indagación</v>
      </c>
      <c r="G36" s="3" t="str">
        <f>'[1]UNIDAD 2'!P10</f>
        <v>BAJA</v>
      </c>
      <c r="H36" s="2" t="str">
        <f>'[1]UNIDAD 2'!J10</f>
        <v>Aspectos fisicoquímicos de las sustancias</v>
      </c>
      <c r="I36" s="2" t="str">
        <f>'[1]UNIDAD 2'!T10</f>
        <v>Guía a los estudiantes en el diseño de un pequeño experimento o la formulación de una hipótesis relacionada con información en diferentes fuentes, escojo la pertinente y doy el crédito correspondiente. Complementa pidiendo que distinga, en un mismo texto, qué es descripción, qué es evidencia y qué es explicación. Verifica que el estudiante formule preguntas y analice resultados propios, y no solo responda preguntas cerradas.</v>
      </c>
      <c r="J36" s="2" t="str">
        <f>'[1]UNIDAD 2'!O10</f>
        <v>Proponer fuentes de información que validen la información presentada en un informe o publicación de un laboratorio.</v>
      </c>
    </row>
    <row r="37" spans="1:10" ht="75" customHeight="1" x14ac:dyDescent="0.35">
      <c r="A37" s="3" t="s">
        <v>4</v>
      </c>
      <c r="B37" s="3" t="str">
        <f>TRIM('[1]UNIDAD 2'!E11)</f>
        <v>Exploro</v>
      </c>
      <c r="C37" s="3">
        <f>'[1]UNIDAD 2'!F11</f>
        <v>9</v>
      </c>
      <c r="D37" s="3">
        <f>'[1]UNIDAD 2'!H11</f>
        <v>6</v>
      </c>
      <c r="E37" s="2" t="str">
        <f>'[1]UNIDAD 2'!L11</f>
        <v>Modelando y diseñando experiencias para reconocer las variables que permiten obtener resultados y conclusiones.</v>
      </c>
      <c r="F37" s="3" t="str">
        <f>'[1]UNIDAD 2'!R11</f>
        <v>Indagación</v>
      </c>
      <c r="G37" s="3" t="str">
        <f>'[1]UNIDAD 2'!P11</f>
        <v>MEDIA</v>
      </c>
      <c r="H37" s="2" t="str">
        <f>'[1]UNIDAD 2'!J11</f>
        <v>Aspectos analíticos de las sustancias</v>
      </c>
      <c r="I37" s="2" t="str">
        <f>'[1]UNIDAD 2'!T11</f>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
      <c r="J37" s="2" t="str">
        <f>'[1]UNIDAD 2'!O11</f>
        <v>Establecer preguntas o hipótesis concretas a partir de resultados, tablas, gráficas y procedimientos.</v>
      </c>
    </row>
    <row r="38" spans="1:10" ht="75" customHeight="1" x14ac:dyDescent="0.35">
      <c r="A38" s="3" t="s">
        <v>4</v>
      </c>
      <c r="B38" s="3" t="str">
        <f>TRIM('[1]UNIDAD 2'!E12)</f>
        <v>Exploro</v>
      </c>
      <c r="C38" s="3" t="str">
        <f>'[1]UNIDAD 2'!F12</f>
        <v>10</v>
      </c>
      <c r="D38" s="3">
        <f>'[1]UNIDAD 2'!H12</f>
        <v>6</v>
      </c>
      <c r="E38" s="2" t="str">
        <f>'[1]UNIDAD 2'!L12</f>
        <v>Interactuando con las propiedades y clasificación de la materia en sistemas físicos, químicos y biológicos.</v>
      </c>
      <c r="F38" s="3" t="str">
        <f>'[1]UNIDAD 2'!R12</f>
        <v>Argumentación</v>
      </c>
      <c r="G38" s="3" t="str">
        <f>'[1]UNIDAD 2'!P12</f>
        <v>ALTA</v>
      </c>
      <c r="H38" s="2" t="str">
        <f>'[1]UNIDAD 2'!J12</f>
        <v>Aspectos analíticos de las sustancias</v>
      </c>
      <c r="I38" s="2" t="str">
        <f>'[1]UNIDAD 2'!T12</f>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
      <c r="J38" s="2" t="str">
        <f>'[1]UNIDAD 2'!O12</f>
        <v>Explicar cuales son las características que presentan los enlaces químicos.</v>
      </c>
    </row>
    <row r="39" spans="1:10" ht="60" customHeight="1" x14ac:dyDescent="0.35">
      <c r="A39" s="3" t="s">
        <v>4</v>
      </c>
      <c r="B39" s="3" t="str">
        <f>TRIM('[1]UNIDAD 2'!E13)</f>
        <v>Desarrollo</v>
      </c>
      <c r="C39" s="3">
        <f>'[1]UNIDAD 2'!F13</f>
        <v>1</v>
      </c>
      <c r="D39" s="3">
        <f>'[1]UNIDAD 2'!H13</f>
        <v>6</v>
      </c>
      <c r="E39" s="2" t="str">
        <f>'[1]UNIDAD 2'!L13</f>
        <v>Comunicando el proceso de indagación en modelación científica.</v>
      </c>
      <c r="F39" s="3" t="str">
        <f>'[1]UNIDAD 2'!R13</f>
        <v>Reconocimiento</v>
      </c>
      <c r="G39" s="3" t="str">
        <f>'[1]UNIDAD 2'!P13</f>
        <v>BAJA</v>
      </c>
      <c r="H39" s="2" t="str">
        <f>'[1]UNIDAD 2'!J13</f>
        <v>Aspectos analíticos de las sustancias</v>
      </c>
      <c r="I39" s="2" t="str">
        <f>'[1]UNIDAD 2'!T13</f>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39" s="2" t="str">
        <f>'[1]UNIDAD 2'!O13</f>
        <v>Identificar el mejor título de un experimento.</v>
      </c>
    </row>
    <row r="40" spans="1:10" ht="75" customHeight="1" x14ac:dyDescent="0.35">
      <c r="A40" s="3" t="s">
        <v>4</v>
      </c>
      <c r="B40" s="3" t="str">
        <f>TRIM('[1]UNIDAD 2'!E14)</f>
        <v>Desarrollo</v>
      </c>
      <c r="C40" s="3">
        <f>'[1]UNIDAD 2'!F14</f>
        <v>2</v>
      </c>
      <c r="D40" s="3">
        <f>'[1]UNIDAD 2'!H14</f>
        <v>6</v>
      </c>
      <c r="E40" s="2" t="str">
        <f>'[1]UNIDAD 2'!L14</f>
        <v>Interactuando con las propiedades y clasificación de la materia en sistemas físicos, químicos y biológicos.</v>
      </c>
      <c r="F40" s="3" t="str">
        <f>'[1]UNIDAD 2'!R14</f>
        <v>Argumentación</v>
      </c>
      <c r="G40" s="3" t="str">
        <f>'[1]UNIDAD 2'!P14</f>
        <v>ALTA</v>
      </c>
      <c r="H40" s="2" t="str">
        <f>'[1]UNIDAD 2'!J14</f>
        <v>Aspectos analíticos de las sustancias</v>
      </c>
      <c r="I40" s="2" t="str">
        <f>'[1]UNIDAD 2'!T14</f>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
      <c r="J40" s="2" t="str">
        <f>'[1]UNIDAD 2'!O14</f>
        <v>Argumentar las características que permiten clasificar algunos elementos de la tabla periódica.</v>
      </c>
    </row>
    <row r="41" spans="1:10" ht="75" customHeight="1" x14ac:dyDescent="0.35">
      <c r="A41" s="3" t="s">
        <v>4</v>
      </c>
      <c r="B41" s="3" t="str">
        <f>TRIM('[1]UNIDAD 2'!E15)</f>
        <v>Desarrollo</v>
      </c>
      <c r="C41" s="3">
        <f>'[1]UNIDAD 2'!F15</f>
        <v>3</v>
      </c>
      <c r="D41" s="3">
        <f>'[1]UNIDAD 2'!H15</f>
        <v>6</v>
      </c>
      <c r="E41" s="2" t="str">
        <f>'[1]UNIDAD 2'!L15</f>
        <v>Interactuando con las propiedades y clasificación de la materia en sistemas físicos, químicos y biológicos.</v>
      </c>
      <c r="F41" s="3" t="str">
        <f>'[1]UNIDAD 2'!R15</f>
        <v>Análisis</v>
      </c>
      <c r="G41" s="3" t="str">
        <f>'[1]UNIDAD 2'!P15</f>
        <v>MEDIA</v>
      </c>
      <c r="H41" s="2" t="str">
        <f>'[1]UNIDAD 2'!J15</f>
        <v>Aspectos fisicoquímicos de las sustancias</v>
      </c>
      <c r="I41" s="2" t="str">
        <f>'[1]UNIDAD 2'!T15</f>
        <v>Proporciona ejemplos concretos de la tabla periódica para determinar propiedades físicas y químicas de los elementos y guía a los estudiantes para que comparen semejanzas y diferencias con un cuadro comparativo. Complementa con una actividad práctica de clasificación de sustancias puras, mezclas, elementos y compuestos. Verifica que el estudiante no se limite a repetir el concepto, sino que lo use para resolver un problema distinto al trabajado en clase.</v>
      </c>
      <c r="J41" s="2" t="str">
        <f>'[1]UNIDAD 2'!O15</f>
        <v>Comparar elementos de la tabla e identificar cuál presenta mayores o menores propiedades periódicas de acuerdo con su ubicación.</v>
      </c>
    </row>
    <row r="42" spans="1:10" ht="75" customHeight="1" x14ac:dyDescent="0.35">
      <c r="A42" s="3" t="s">
        <v>4</v>
      </c>
      <c r="B42" s="3" t="str">
        <f>TRIM('[1]UNIDAD 2'!E16)</f>
        <v>Desarrollo</v>
      </c>
      <c r="C42" s="3">
        <f>'[1]UNIDAD 2'!F16</f>
        <v>4</v>
      </c>
      <c r="D42" s="3">
        <f>'[1]UNIDAD 2'!H16</f>
        <v>6</v>
      </c>
      <c r="E42" s="2" t="str">
        <f>'[1]UNIDAD 2'!L16</f>
        <v>Interactuando con las propiedades y clasificación de la materia en sistemas físicos, químicos y biológicos.</v>
      </c>
      <c r="F42" s="3" t="str">
        <f>'[1]UNIDAD 2'!R16</f>
        <v>Análisis</v>
      </c>
      <c r="G42" s="3" t="str">
        <f>'[1]UNIDAD 2'!P16</f>
        <v>ALTA</v>
      </c>
      <c r="H42" s="2" t="str">
        <f>'[1]UNIDAD 2'!J16</f>
        <v>Aspectos fisicoquímicos de las sustancias</v>
      </c>
      <c r="I42" s="2" t="str">
        <f>'[1]UNIDAD 2'!T16</f>
        <v>Proporciona ejemplos concretos de la tabla periódica para determinar propiedades físicas y químicas de los elementos y guía a los estudiantes para que comparen semejanzas y diferencias con un cuadro comparativo. Complementa con una actividad práctica de clasificación de sustancias puras, mezclas, elementos y compuestos. Verifica que el estudiante pueda juzgar la validez de una afirmación o de un modelo explicativo, y no solo describirlo.</v>
      </c>
      <c r="J42" s="2" t="str">
        <f>'[1]UNIDAD 2'!O16</f>
        <v>Comparar los diferentes cationes y aniones de elementos químicos.</v>
      </c>
    </row>
    <row r="43" spans="1:10" ht="75" customHeight="1" x14ac:dyDescent="0.35">
      <c r="A43" s="3" t="s">
        <v>4</v>
      </c>
      <c r="B43" s="3" t="str">
        <f>TRIM('[1]UNIDAD 2'!E17)</f>
        <v>Desarrollo</v>
      </c>
      <c r="C43" s="3">
        <f>'[1]UNIDAD 2'!F17</f>
        <v>5</v>
      </c>
      <c r="D43" s="3">
        <f>'[1]UNIDAD 2'!H17</f>
        <v>6</v>
      </c>
      <c r="E43" s="2" t="str">
        <f>'[1]UNIDAD 2'!L17</f>
        <v>Interactuando con las propiedades y clasificación de la materia en sistemas físicos, químicos y biológicos.</v>
      </c>
      <c r="F43" s="3" t="str">
        <f>'[1]UNIDAD 2'!R17</f>
        <v>Argumentación</v>
      </c>
      <c r="G43" s="3" t="str">
        <f>'[1]UNIDAD 2'!P17</f>
        <v>BAJA</v>
      </c>
      <c r="H43" s="2" t="str">
        <f>'[1]UNIDAD 2'!J17</f>
        <v>Aspectos analíticos de las sustancias</v>
      </c>
      <c r="I43" s="2" t="str">
        <f>'[1]UNIDAD 2'!T17</f>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
      <c r="J43" s="2" t="str">
        <f>'[1]UNIDAD 2'!O17</f>
        <v>Explicar las diferentes fuerzas intermoleculares que hay entre elementos, moléculas y compuestos.</v>
      </c>
    </row>
    <row r="44" spans="1:10" ht="75" customHeight="1" x14ac:dyDescent="0.35">
      <c r="A44" s="3" t="s">
        <v>4</v>
      </c>
      <c r="B44" s="3" t="str">
        <f>TRIM('[1]UNIDAD 2'!E18)</f>
        <v>Desarrollo</v>
      </c>
      <c r="C44" s="3">
        <f>'[1]UNIDAD 2'!F18</f>
        <v>6</v>
      </c>
      <c r="D44" s="3">
        <f>'[1]UNIDAD 2'!H18</f>
        <v>6</v>
      </c>
      <c r="E44" s="2" t="str">
        <f>'[1]UNIDAD 2'!L18</f>
        <v>Interactuando con las propiedades y clasificación de la materia en sistemas físicos, químicos y biológicos.</v>
      </c>
      <c r="F44" s="3" t="str">
        <f>'[1]UNIDAD 2'!R18</f>
        <v>Comprensión</v>
      </c>
      <c r="G44" s="3" t="str">
        <f>'[1]UNIDAD 2'!P18</f>
        <v>MEDIA</v>
      </c>
      <c r="H44" s="2" t="str">
        <f>'[1]UNIDAD 2'!J18</f>
        <v>Aspectos analíticos de las sustancias</v>
      </c>
      <c r="I44" s="2" t="str">
        <f>'[1]UNIDAD 2'!T18</f>
        <v>Pide a los estudiantes que expliquen con sus propias palabras la tabla periódica para determinar propiedades físicas y químicas de los elementos, verificando que usen correctamente el lenguaje científico. Complementa con una actividad práctica de clasificación de sustancias puras, mezclas, elementos y compuestos. Verifica que el estudiante no se limite a repetir el concepto, sino que lo use para resolver un problema distinto al trabajado en clase.</v>
      </c>
      <c r="J44" s="2" t="str">
        <f>'[1]UNIDAD 2'!O18</f>
        <v>Describir los conceptos de número atómico, número de masa y de neutrones, de los elementos de la tabla periódica y de los isótopos.</v>
      </c>
    </row>
    <row r="45" spans="1:10" ht="75" customHeight="1" x14ac:dyDescent="0.35">
      <c r="A45" s="3" t="s">
        <v>4</v>
      </c>
      <c r="B45" s="3" t="str">
        <f>TRIM('[1]UNIDAD 2'!E19)</f>
        <v>Desarrollo</v>
      </c>
      <c r="C45" s="3">
        <f>'[1]UNIDAD 2'!F19</f>
        <v>7</v>
      </c>
      <c r="D45" s="3">
        <f>'[1]UNIDAD 2'!H19</f>
        <v>6</v>
      </c>
      <c r="E45" s="2" t="str">
        <f>'[1]UNIDAD 2'!L19</f>
        <v>Modelando y diseñando experiencias para reconocer las variables que permiten obtener resultados y conclusiones.</v>
      </c>
      <c r="F45" s="3" t="str">
        <f>'[1]UNIDAD 2'!R19</f>
        <v>Indagación</v>
      </c>
      <c r="G45" s="3" t="str">
        <f>'[1]UNIDAD 2'!P19</f>
        <v>MEDIA</v>
      </c>
      <c r="H45" s="2" t="str">
        <f>'[1]UNIDAD 2'!J19</f>
        <v>Aspectos analíticos de las sustancias</v>
      </c>
      <c r="I45" s="2" t="str">
        <f>'[1]UNIDAD 2'!T19</f>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
      <c r="J45" s="2" t="str">
        <f>'[1]UNIDAD 2'!O19</f>
        <v>Establecer a partir de resultados, tablas, gráficas o procedimientos la pregunta o hipótesis del experimento.</v>
      </c>
    </row>
    <row r="46" spans="1:10" ht="75" customHeight="1" x14ac:dyDescent="0.35">
      <c r="A46" s="3" t="s">
        <v>4</v>
      </c>
      <c r="B46" s="3" t="str">
        <f>TRIM('[1]UNIDAD 2'!E20)</f>
        <v>Desarrollo</v>
      </c>
      <c r="C46" s="3" t="str">
        <f>'[1]UNIDAD 2'!F20</f>
        <v>8</v>
      </c>
      <c r="D46" s="3">
        <f>'[1]UNIDAD 2'!H20</f>
        <v>6</v>
      </c>
      <c r="E46" s="2" t="str">
        <f>'[1]UNIDAD 2'!L20</f>
        <v>Modelando y diseñando experiencias para reconocer las variables que permiten obtener resultados y conclusiones.</v>
      </c>
      <c r="F46" s="3" t="str">
        <f>'[1]UNIDAD 2'!R20</f>
        <v>Indagación</v>
      </c>
      <c r="G46" s="3" t="str">
        <f>'[1]UNIDAD 2'!P20</f>
        <v>MEDIA</v>
      </c>
      <c r="H46" s="2" t="str">
        <f>'[1]UNIDAD 2'!J20</f>
        <v>Aspectos analíticos de las sustancias</v>
      </c>
      <c r="I46" s="2" t="str">
        <f>'[1]UNIDAD 2'!T20</f>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
      <c r="J46" s="2" t="str">
        <f>'[1]UNIDAD 2'!O20</f>
        <v>Establecer a partir de resultados, tablas, gráficas o procedimientos la pregunta o hipótesis del experimento.</v>
      </c>
    </row>
    <row r="47" spans="1:10" ht="75" customHeight="1" x14ac:dyDescent="0.35">
      <c r="A47" s="3" t="s">
        <v>4</v>
      </c>
      <c r="B47" s="3" t="str">
        <f>TRIM('[1]UNIDAD 2'!E21)</f>
        <v>Desarrollo</v>
      </c>
      <c r="C47" s="3">
        <f>'[1]UNIDAD 2'!F21</f>
        <v>9</v>
      </c>
      <c r="D47" s="3">
        <f>'[1]UNIDAD 2'!H21</f>
        <v>6</v>
      </c>
      <c r="E47" s="2" t="str">
        <f>'[1]UNIDAD 2'!L21</f>
        <v>Interactuando con las propiedades y clasificación de la materia en sistemas físicos, químicos y biológicos.</v>
      </c>
      <c r="F47" s="3" t="str">
        <f>'[1]UNIDAD 2'!R21</f>
        <v>Reconocimiento</v>
      </c>
      <c r="G47" s="3" t="str">
        <f>'[1]UNIDAD 2'!P21</f>
        <v>MEDIA</v>
      </c>
      <c r="H47" s="2" t="str">
        <f>'[1]UNIDAD 2'!J21</f>
        <v>Aspectos analíticos de las sustancias</v>
      </c>
      <c r="I47" s="2" t="str">
        <f>'[1]UNIDAD 2'!T21</f>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
      <c r="J47" s="2" t="str">
        <f>'[1]UNIDAD 2'!O21</f>
        <v>Agrupar y ubicar por características algunos elementos de la tabla periódica.</v>
      </c>
    </row>
    <row r="48" spans="1:10" ht="75" customHeight="1" x14ac:dyDescent="0.35">
      <c r="A48" s="3" t="s">
        <v>4</v>
      </c>
      <c r="B48" s="3" t="str">
        <f>TRIM('[1]UNIDAD 2'!E22)</f>
        <v>Desarrollo</v>
      </c>
      <c r="C48" s="3">
        <f>'[1]UNIDAD 2'!F22</f>
        <v>10</v>
      </c>
      <c r="D48" s="3">
        <f>'[1]UNIDAD 2'!H22</f>
        <v>6</v>
      </c>
      <c r="E48" s="2" t="str">
        <f>'[1]UNIDAD 2'!L22</f>
        <v>Interactuando con las propiedades y clasificación de la materia en sistemas físicos, químicos y biológicos.</v>
      </c>
      <c r="F48" s="3" t="str">
        <f>'[1]UNIDAD 2'!R22</f>
        <v>Argumentación</v>
      </c>
      <c r="G48" s="3" t="str">
        <f>'[1]UNIDAD 2'!P22</f>
        <v>MEDIA</v>
      </c>
      <c r="H48" s="2" t="str">
        <f>'[1]UNIDAD 2'!J22</f>
        <v>Aspectos analíticos de las mezclas</v>
      </c>
      <c r="I48" s="2" t="str">
        <f>'[1]UNIDAD 2'!T22</f>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
      <c r="J48" s="2" t="str">
        <f>'[1]UNIDAD 2'!O22</f>
        <v>Explicar como se relaciona la electronegatividad de acuerdo a la posición de los elementos en la tabla periódica.</v>
      </c>
    </row>
    <row r="49" spans="1:10" ht="75" customHeight="1" x14ac:dyDescent="0.35">
      <c r="A49" s="3" t="s">
        <v>4</v>
      </c>
      <c r="B49" s="3" t="str">
        <f>TRIM('[1]UNIDAD 2'!E23)</f>
        <v>Desarrollo</v>
      </c>
      <c r="C49" s="3">
        <f>'[1]UNIDAD 2'!F23</f>
        <v>11</v>
      </c>
      <c r="D49" s="3">
        <f>'[1]UNIDAD 2'!H23</f>
        <v>6</v>
      </c>
      <c r="E49" s="2" t="str">
        <f>'[1]UNIDAD 2'!L23</f>
        <v>Interactuando con las propiedades y clasificación de la materia en sistemas físicos, químicos y biológicos.</v>
      </c>
      <c r="F49" s="3" t="str">
        <f>'[1]UNIDAD 2'!R23</f>
        <v>Argumentación</v>
      </c>
      <c r="G49" s="3" t="str">
        <f>'[1]UNIDAD 2'!P23</f>
        <v>ALTA</v>
      </c>
      <c r="H49" s="2" t="str">
        <f>'[1]UNIDAD 2'!J23</f>
        <v>Aspectos analíticos de las mezclas</v>
      </c>
      <c r="I49" s="2" t="str">
        <f>'[1]UNIDAD 2'!T23</f>
        <v>Propón situaciones en las que los estudiantes deban argumentar y sustentar con evidencia sus respuestas acerca de la tabla periódica para determinar propiedades físicas y químicas de los elementos. Complementa con una actividad práctica de clasificación de sustancias puras, mezclas, elementos y compuestos. Verifica que el estudiante pueda juzgar la validez de una afirmación o de un modelo explicativo, y no solo describirlo.</v>
      </c>
      <c r="J49" s="2" t="str">
        <f>'[1]UNIDAD 2'!O23</f>
        <v>Explicar características químicas de los elementos como su electronegatividad, estructura de Lewis, electrones de valencia, entre otras.</v>
      </c>
    </row>
    <row r="50" spans="1:10" ht="75" customHeight="1" x14ac:dyDescent="0.35">
      <c r="A50" s="3" t="s">
        <v>4</v>
      </c>
      <c r="B50" s="3" t="str">
        <f>TRIM('[1]UNIDAD 2'!E24)</f>
        <v>Desarrollo</v>
      </c>
      <c r="C50" s="3">
        <f>'[1]UNIDAD 2'!F24</f>
        <v>12</v>
      </c>
      <c r="D50" s="3">
        <f>'[1]UNIDAD 2'!H24</f>
        <v>6</v>
      </c>
      <c r="E50" s="2" t="str">
        <f>'[1]UNIDAD 2'!L24</f>
        <v>Interactuando con las propiedades y clasificación de la materia en sistemas físicos, químicos y biológicos.</v>
      </c>
      <c r="F50" s="3" t="str">
        <f>'[1]UNIDAD 2'!R24</f>
        <v>Reconocimiento</v>
      </c>
      <c r="G50" s="3" t="str">
        <f>'[1]UNIDAD 2'!P24</f>
        <v>MEDIA</v>
      </c>
      <c r="H50" s="2" t="str">
        <f>'[1]UNIDAD 2'!J24</f>
        <v>Aspectos fisicoquímicos de las sustancias</v>
      </c>
      <c r="I50" s="2" t="str">
        <f>'[1]UNIDAD 2'!T24</f>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
      <c r="J50" s="2" t="str">
        <f>'[1]UNIDAD 2'!O24</f>
        <v>Reconocer características químicas de los elementos como su electronegatividad, estructura de Lewis, electrones de valencia, entre otras.</v>
      </c>
    </row>
    <row r="51" spans="1:10" ht="75" customHeight="1" x14ac:dyDescent="0.35">
      <c r="A51" s="3" t="s">
        <v>4</v>
      </c>
      <c r="B51" s="3" t="str">
        <f>TRIM('[1]UNIDAD 2'!E25)</f>
        <v>Desarrollo</v>
      </c>
      <c r="C51" s="3">
        <f>'[1]UNIDAD 2'!F25</f>
        <v>13</v>
      </c>
      <c r="D51" s="3">
        <f>'[1]UNIDAD 2'!H25</f>
        <v>6</v>
      </c>
      <c r="E51" s="2" t="str">
        <f>'[1]UNIDAD 2'!L25</f>
        <v>Interactuando con las propiedades y clasificación de la materia en sistemas físicos, químicos y biológicos.</v>
      </c>
      <c r="F51" s="3" t="str">
        <f>'[1]UNIDAD 2'!R25</f>
        <v>Reconocimiento</v>
      </c>
      <c r="G51" s="3" t="str">
        <f>'[1]UNIDAD 2'!P25</f>
        <v>BAJA</v>
      </c>
      <c r="H51" s="2" t="str">
        <f>'[1]UNIDAD 2'!J25</f>
        <v>Aspectos analíticos de las sustancias</v>
      </c>
      <c r="I51" s="2" t="str">
        <f>'[1]UNIDAD 2'!T25</f>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
      <c r="J51" s="2" t="str">
        <f>'[1]UNIDAD 2'!O25</f>
        <v>Identificar a partir de la configuración electrónica, la organización y ubicación los elementos por grupos, periodos, electrones de valencia, regiones y características.</v>
      </c>
    </row>
    <row r="52" spans="1:10" ht="75" customHeight="1" x14ac:dyDescent="0.35">
      <c r="A52" s="3" t="s">
        <v>4</v>
      </c>
      <c r="B52" s="3" t="str">
        <f>TRIM('[1]UNIDAD 2'!E26)</f>
        <v>Desarrollo</v>
      </c>
      <c r="C52" s="3">
        <f>'[1]UNIDAD 2'!F26</f>
        <v>14</v>
      </c>
      <c r="D52" s="3">
        <f>'[1]UNIDAD 2'!H26</f>
        <v>6</v>
      </c>
      <c r="E52" s="2" t="str">
        <f>'[1]UNIDAD 2'!L26</f>
        <v>Interactuando con las propiedades y clasificación de la materia en sistemas físicos, químicos y biológicos.</v>
      </c>
      <c r="F52" s="3" t="str">
        <f>'[1]UNIDAD 2'!R26</f>
        <v>Análisis</v>
      </c>
      <c r="G52" s="3" t="str">
        <f>'[1]UNIDAD 2'!P26</f>
        <v>MEDIA</v>
      </c>
      <c r="H52" s="2" t="str">
        <f>'[1]UNIDAD 2'!J26</f>
        <v>Aspectos analíticos de las sustancias</v>
      </c>
      <c r="I52" s="2" t="str">
        <f>'[1]UNIDAD 2'!T26</f>
        <v>Proporciona ejemplos concretos de la tabla periódica para determinar propiedades físicas y químicas de los elementos y guía a los estudiantes para que comparen semejanzas y diferencias con un cuadro comparativo. Complementa con una actividad práctica de clasificación de sustancias puras, mezclas, elementos y compuestos. Verifica que el estudiante pueda juzgar la validez de una afirmación o de un modelo explicativo, y no solo describirlo.</v>
      </c>
      <c r="J52" s="2" t="str">
        <f>'[1]UNIDAD 2'!O26</f>
        <v>Asociar varios elementos de acuerdo a propiedades de la tabla periódica.</v>
      </c>
    </row>
    <row r="53" spans="1:10" ht="75" customHeight="1" x14ac:dyDescent="0.35">
      <c r="A53" s="3" t="s">
        <v>4</v>
      </c>
      <c r="B53" s="3" t="str">
        <f>TRIM('[1]UNIDAD 2'!E27)</f>
        <v>Desarrollo</v>
      </c>
      <c r="C53" s="3">
        <f>'[1]UNIDAD 2'!F27</f>
        <v>15</v>
      </c>
      <c r="D53" s="3">
        <f>'[1]UNIDAD 2'!H27</f>
        <v>6</v>
      </c>
      <c r="E53" s="2" t="str">
        <f>'[1]UNIDAD 2'!L27</f>
        <v>Comunicando el proceso de indagación en modelación científica.</v>
      </c>
      <c r="F53" s="3" t="str">
        <f>'[1]UNIDAD 2'!R27</f>
        <v>Reconocimiento</v>
      </c>
      <c r="G53" s="3" t="str">
        <f>'[1]UNIDAD 2'!P27</f>
        <v>ALTA</v>
      </c>
      <c r="H53" s="2" t="str">
        <f>'[1]UNIDAD 2'!J27</f>
        <v>Aspectos analíticos de las sustancias</v>
      </c>
      <c r="I53" s="2" t="str">
        <f>'[1]UNIDAD 2'!T27</f>
        <v>Presenta ejemplos y contraejemplos del proceso de indagación y los resultados, utilizando gráficas, tablas, ecuaciones aritméticas y algebraicas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53" s="2" t="str">
        <f>'[1]UNIDAD 2'!O27</f>
        <v>Identificar el mejor título de un experimento.</v>
      </c>
    </row>
    <row r="54" spans="1:10" ht="75" customHeight="1" x14ac:dyDescent="0.35">
      <c r="A54" s="3" t="s">
        <v>4</v>
      </c>
      <c r="B54" s="3" t="str">
        <f>TRIM('[1]UNIDAD 2'!E28)</f>
        <v>Aplico</v>
      </c>
      <c r="C54" s="3" t="str">
        <f>'[1]UNIDAD 2'!F28</f>
        <v>1</v>
      </c>
      <c r="D54" s="3">
        <f>'[1]UNIDAD 2'!H28</f>
        <v>6</v>
      </c>
      <c r="E54" s="2" t="str">
        <f>'[1]UNIDAD 2'!L28</f>
        <v>Interactuando con las propiedades y clasificación de la materia en sistemas físicos, químicos y biológicos.</v>
      </c>
      <c r="F54" s="3" t="str">
        <f>'[1]UNIDAD 2'!R28</f>
        <v>Comprensión</v>
      </c>
      <c r="G54" s="3" t="str">
        <f>'[1]UNIDAD 2'!P28</f>
        <v>ALTA</v>
      </c>
      <c r="H54" s="2" t="str">
        <f>'[1]UNIDAD 2'!J28</f>
        <v>Aspectos analíticos de las sustancias</v>
      </c>
      <c r="I54" s="2" t="str">
        <f>'[1]UNIDAD 2'!T28</f>
        <v>Pide a los estudiantes que expliquen con sus propias palabras la tabla periódica para determinar propiedades físicas y químicas de los elementos, verificando que usen correctamente el lenguaje científico. Complementa con una actividad práctica de clasificación de sustancias puras, mezclas, elementos y compuestos. Verifica que el estudiante no se limite a repetir el concepto, sino que lo use para resolver un problema distinto al trabajado en clase.</v>
      </c>
      <c r="J54" s="2" t="str">
        <f>'[1]UNIDAD 2'!O28</f>
        <v>Comprender cuáles fueron las características que emplearon los científicos para realizar el ordenamiento de los elementos de la tabla periódica.</v>
      </c>
    </row>
    <row r="55" spans="1:10" ht="75" customHeight="1" x14ac:dyDescent="0.35">
      <c r="A55" s="3" t="s">
        <v>4</v>
      </c>
      <c r="B55" s="3" t="str">
        <f>TRIM('[1]UNIDAD 2'!E29)</f>
        <v>Aplico</v>
      </c>
      <c r="C55" s="3" t="str">
        <f>'[1]UNIDAD 2'!F29</f>
        <v>2</v>
      </c>
      <c r="D55" s="3">
        <f>'[1]UNIDAD 2'!H29</f>
        <v>6</v>
      </c>
      <c r="E55" s="2" t="str">
        <f>'[1]UNIDAD 2'!L29</f>
        <v>Interactuando con las propiedades y clasificación de la materia en sistemas físicos, químicos y biológicos.</v>
      </c>
      <c r="F55" s="3" t="str">
        <f>'[1]UNIDAD 2'!R29</f>
        <v>Reconocimiento</v>
      </c>
      <c r="G55" s="3" t="str">
        <f>'[1]UNIDAD 2'!P29</f>
        <v>BAJA</v>
      </c>
      <c r="H55" s="2" t="str">
        <f>'[1]UNIDAD 2'!J29</f>
        <v>Aspectos analíticos de las sustancias</v>
      </c>
      <c r="I55" s="2" t="str">
        <f>'[1]UNIDAD 2'!T29</f>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pueda juzgar la validez de una afirmación o de un modelo explicativo, y no solo describirlo.</v>
      </c>
      <c r="J55" s="2" t="str">
        <f>'[1]UNIDAD 2'!O29</f>
        <v>Identificar a partir de la configuración electrónica, la organización y ubicación los elementos por grupos, periodos, electrones de valencia, regiones y características.</v>
      </c>
    </row>
    <row r="56" spans="1:10" ht="60" customHeight="1" x14ac:dyDescent="0.35">
      <c r="A56" s="3" t="s">
        <v>3</v>
      </c>
      <c r="B56" s="3" t="str">
        <f>TRIM('[1]UNIDAD 3'!E3)</f>
        <v>Exploro</v>
      </c>
      <c r="C56" s="3" t="str">
        <f>'[1]UNIDAD 3'!F3</f>
        <v>1</v>
      </c>
      <c r="D56" s="3">
        <f>'[1]UNIDAD 3'!H3</f>
        <v>6</v>
      </c>
      <c r="E56" s="2" t="str">
        <f>'[1]UNIDAD 3'!L3</f>
        <v>Integrando las transformaciones de la materia con los cambios de las sustancias en la vida cotidiana.</v>
      </c>
      <c r="F56" s="3" t="str">
        <f>'[1]UNIDAD 3'!R3</f>
        <v>Comprensión</v>
      </c>
      <c r="G56" s="3" t="str">
        <f>'[1]UNIDAD 3'!P3</f>
        <v>ALTA</v>
      </c>
      <c r="H56" s="2" t="str">
        <f>'[1]UNIDAD 3'!J3</f>
        <v>Aspectos analíticos de las sustancias</v>
      </c>
      <c r="I56" s="2" t="str">
        <f>'[1]UNIDAD 3'!T3</f>
        <v>Pide a los estudiantes que expliquen con sus propias palabras cálculos cuantitativos en cambios químicos, verificando que usen correctamente el lenguaje científico. Complementa con ejercicios de balanceo y estequiometría aplicados a ejemplos observables de la vida cotidiana. Verifica que el estudiante no se limite a repetir el concepto, sino que lo use para resolver un problema distinto al trabajado en clase.</v>
      </c>
      <c r="J56" s="2" t="str">
        <f>'[1]UNIDAD 3'!O3</f>
        <v>Escribir correctamente una ecuación química de acuerdo a un contexto determinado.</v>
      </c>
    </row>
    <row r="57" spans="1:10" ht="75" customHeight="1" x14ac:dyDescent="0.35">
      <c r="A57" s="3" t="s">
        <v>3</v>
      </c>
      <c r="B57" s="3" t="str">
        <f>TRIM('[1]UNIDAD 3'!E4)</f>
        <v>Exploro</v>
      </c>
      <c r="C57" s="3">
        <f>'[1]UNIDAD 3'!F4</f>
        <v>2</v>
      </c>
      <c r="D57" s="3">
        <f>'[1]UNIDAD 3'!H4</f>
        <v>6</v>
      </c>
      <c r="E57" s="2" t="str">
        <f>'[1]UNIDAD 3'!L4</f>
        <v>Comunicando el proceso de indagación en modelación científica.</v>
      </c>
      <c r="F57" s="3" t="str">
        <f>'[1]UNIDAD 3'!R4</f>
        <v>Indagación</v>
      </c>
      <c r="G57" s="3" t="str">
        <f>'[1]UNIDAD 3'!P4</f>
        <v>BAJA</v>
      </c>
      <c r="H57" s="2" t="str">
        <f>'[1]UNIDAD 3'!J4</f>
        <v>Aspectos fisicoquímicos de las mezclas</v>
      </c>
      <c r="I57" s="2" t="str">
        <f>'[1]UNIDAD 3'!T4</f>
        <v>Guía a los estudiantes en el diseño de un pequeño experimento o la formulación de una hipótesis relacionada con el proceso de indagación y los resultados, utilizando gráficas, tablas, ecuaciones aritméticas y algebraicas. Complementa pidiendo que registre el proceso en informes o gráficas claras, verificables por un tercero. Verifica que el estudiante formule preguntas y analice resultados propios, y no solo responda preguntas cerradas.</v>
      </c>
      <c r="J57" s="2" t="str">
        <f>'[1]UNIDAD 3'!O4</f>
        <v>Diseñar o proponer elementos del método científico de forma adecuada.</v>
      </c>
    </row>
    <row r="58" spans="1:10" ht="60" customHeight="1" x14ac:dyDescent="0.35">
      <c r="A58" s="3" t="s">
        <v>3</v>
      </c>
      <c r="B58" s="3" t="str">
        <f>TRIM('[1]UNIDAD 3'!E5)</f>
        <v>Exploro</v>
      </c>
      <c r="C58" s="3">
        <f>'[1]UNIDAD 3'!F5</f>
        <v>3</v>
      </c>
      <c r="D58" s="3">
        <f>'[1]UNIDAD 3'!H5</f>
        <v>6</v>
      </c>
      <c r="E58" s="2" t="str">
        <f>'[1]UNIDAD 3'!L5</f>
        <v>Integrando las transformaciones de la materia con los cambios de las sustancias en la vida cotidiana.</v>
      </c>
      <c r="F58" s="3" t="str">
        <f>'[1]UNIDAD 3'!R5</f>
        <v>Reconocimiento</v>
      </c>
      <c r="G58" s="3" t="str">
        <f>'[1]UNIDAD 3'!P5</f>
        <v>ALTA</v>
      </c>
      <c r="H58" s="2" t="str">
        <f>'[1]UNIDAD 3'!J5</f>
        <v>Aspectos fisicoquímicos de las sustancias</v>
      </c>
      <c r="I58" s="2" t="str">
        <f>'[1]UNIDAD 3'!T5</f>
        <v>Presenta ejemplos y contraejemplos de cálculos cuantitativos en cambios químicos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58" s="2" t="str">
        <f>'[1]UNIDAD 3'!O5</f>
        <v xml:space="preserve"> Reconocer el comportamiento de los gases ideales en situaciones donde se modifica una o varias variables.</v>
      </c>
    </row>
    <row r="59" spans="1:10" ht="75" customHeight="1" x14ac:dyDescent="0.35">
      <c r="A59" s="3" t="s">
        <v>3</v>
      </c>
      <c r="B59" s="3" t="str">
        <f>TRIM('[1]UNIDAD 3'!E6)</f>
        <v>Exploro</v>
      </c>
      <c r="C59" s="3" t="str">
        <f>'[1]UNIDAD 3'!F6</f>
        <v>4</v>
      </c>
      <c r="D59" s="3">
        <f>'[1]UNIDAD 3'!H6</f>
        <v>6</v>
      </c>
      <c r="E59" s="2" t="str">
        <f>'[1]UNIDAD 3'!L6</f>
        <v>Generando explicaciones a preguntas e hipótesis acerca de la modelación científica.</v>
      </c>
      <c r="F59" s="3" t="str">
        <f>'[1]UNIDAD 3'!R6</f>
        <v>Reconocimiento</v>
      </c>
      <c r="G59" s="3" t="str">
        <f>'[1]UNIDAD 3'!P6</f>
        <v>MEDIA</v>
      </c>
      <c r="H59" s="2" t="str">
        <f>'[1]UNIDAD 3'!J6</f>
        <v>Aspectos fisicoquímicos de las sustancias</v>
      </c>
      <c r="I59" s="2" t="str">
        <f>'[1]UNIDAD 3'!T6</f>
        <v>Presenta ejemplos y contraejemplos de hipótesis con base en el conocimiento cotidiano, teorías y modelos científicos y pide a los estudiantes que los clasifiquen, antes de avanzar a preguntas más complejas. Complementa pidiendo que formule una hipótesis propia y la contraste con un resultado observado. Verifica que el estudiante formule preguntas y analice resultados propios, y no solo responda preguntas cerradas.</v>
      </c>
      <c r="J59" s="2" t="str">
        <f>'[1]UNIDAD 3'!O6</f>
        <v>Reconocer cual fue la hipótesis inicial del experimento.</v>
      </c>
    </row>
    <row r="60" spans="1:10" ht="60" customHeight="1" x14ac:dyDescent="0.35">
      <c r="A60" s="3" t="s">
        <v>3</v>
      </c>
      <c r="B60" s="3" t="str">
        <f>TRIM('[1]UNIDAD 3'!E7)</f>
        <v>Exploro</v>
      </c>
      <c r="C60" s="3">
        <f>'[1]UNIDAD 3'!F7</f>
        <v>5</v>
      </c>
      <c r="D60" s="3">
        <f>'[1]UNIDAD 3'!H7</f>
        <v>6</v>
      </c>
      <c r="E60" s="2" t="str">
        <f>'[1]UNIDAD 3'!L7</f>
        <v>Procesando información registrando y midiendo de manera adecuada las observaciones del proceso de modelación científico.</v>
      </c>
      <c r="F60" s="3" t="str">
        <f>'[1]UNIDAD 3'!R7</f>
        <v>Aplicación</v>
      </c>
      <c r="G60" s="3" t="str">
        <f>'[1]UNIDAD 3'!P7</f>
        <v>MEDIA</v>
      </c>
      <c r="H60" s="2" t="str">
        <f>'[1]UNIDAD 3'!J7</f>
        <v>Aspectos fisicoquímicos de las sustancias</v>
      </c>
      <c r="I60" s="2" t="str">
        <f>'[1]UNIDAD 3'!T7</f>
        <v>Realiza ejercicios prácticos guiados paso a paso sobre mis observaciones y resultados utilizando esquemas, gráficos y tablas, retroalimentando el procedimiento y no solo el resultado. Complementa pidiendo que registre datos con unidades y cifras significativas correctas. Verifica que el estudiante formule preguntas y analice resultados propios, y no solo responda preguntas cerradas.</v>
      </c>
      <c r="J60" s="2" t="str">
        <f>'[1]UNIDAD 3'!O7</f>
        <v>Registrar los resultados que se pueden obtener en un experimento a través de una gráfica.</v>
      </c>
    </row>
    <row r="61" spans="1:10" ht="60" customHeight="1" x14ac:dyDescent="0.35">
      <c r="A61" s="3" t="s">
        <v>3</v>
      </c>
      <c r="B61" s="3" t="str">
        <f>TRIM('[1]UNIDAD 3'!E8)</f>
        <v>Exploro</v>
      </c>
      <c r="C61" s="3">
        <f>'[1]UNIDAD 3'!F8</f>
        <v>6</v>
      </c>
      <c r="D61" s="3">
        <f>'[1]UNIDAD 3'!H8</f>
        <v>6</v>
      </c>
      <c r="E61" s="2" t="str">
        <f>'[1]UNIDAD 3'!L8</f>
        <v>Procesando información registrando y midiendo de manera adecuada las observaciones del proceso de modelación científico.</v>
      </c>
      <c r="F61" s="3" t="str">
        <f>'[1]UNIDAD 3'!R8</f>
        <v>Reconocimiento</v>
      </c>
      <c r="G61" s="3" t="str">
        <f>'[1]UNIDAD 3'!P8</f>
        <v>MEDIA</v>
      </c>
      <c r="H61" s="2" t="str">
        <f>'[1]UNIDAD 3'!J8</f>
        <v>Aspectos fisicoquímicos de las sustancias</v>
      </c>
      <c r="I61" s="2" t="str">
        <f>'[1]UNIDAD 3'!T8</f>
        <v>Presenta ejemplos y contraejemplos de mis resultados en forma organizada y sin alteración alguna y pide a los estudiantes que los clasifiquen, antes de avanzar a preguntas más complejas. Complementa pidiendo que registre datos con unidades y cifras significativas correctas. Verifica que el estudiante formule preguntas y analice resultados propios, y no solo responda preguntas cerradas.</v>
      </c>
      <c r="J61" s="2" t="str">
        <f>'[1]UNIDAD 3'!O8</f>
        <v>Reconocer como una variable permite medir una determinada característica.</v>
      </c>
    </row>
    <row r="62" spans="1:10" ht="60" customHeight="1" x14ac:dyDescent="0.35">
      <c r="A62" s="3" t="s">
        <v>3</v>
      </c>
      <c r="B62" s="3" t="str">
        <f>TRIM('[1]UNIDAD 3'!E9)</f>
        <v>Exploro</v>
      </c>
      <c r="C62" s="3" t="str">
        <f>'[1]UNIDAD 3'!F9</f>
        <v>7</v>
      </c>
      <c r="D62" s="3">
        <f>'[1]UNIDAD 3'!H9</f>
        <v>6</v>
      </c>
      <c r="E62" s="2" t="str">
        <f>'[1]UNIDAD 3'!L9</f>
        <v>Integrando las transformaciones de la materia con los cambios de las sustancias en la vida cotidiana.</v>
      </c>
      <c r="F62" s="3" t="str">
        <f>'[1]UNIDAD 3'!R9</f>
        <v>Indagación</v>
      </c>
      <c r="G62" s="3" t="str">
        <f>'[1]UNIDAD 3'!P9</f>
        <v>ALTA</v>
      </c>
      <c r="H62" s="2" t="str">
        <f>'[1]UNIDAD 3'!J9</f>
        <v>Aspectos fisicoquímicos de las sustancias</v>
      </c>
      <c r="I62" s="2" t="str">
        <f>'[1]UNIDAD 3'!T9</f>
        <v>Guía a los estudiantes en el diseño de un pequeño experimento o la formulación de una hipótesis relacionada con cambios químicos en la vida cotidiana y en el ambiente. Complementa con ejercicios de balanceo y estequiometría aplicados a ejemplos observables de la vida cotidiana. Verifica que el estudiante no se limite a repetir el concepto, sino que lo use para resolver un problema distinto al trabajado en clase.</v>
      </c>
      <c r="J62" s="2" t="str">
        <f>'[1]UNIDAD 3'!O9</f>
        <v>Establecer como una propiedad de un gas afecta la medición de algunas de sus magnitudes, volumen, presión, temperatura y moles.</v>
      </c>
    </row>
    <row r="63" spans="1:10" ht="75" customHeight="1" x14ac:dyDescent="0.35">
      <c r="A63" s="3" t="s">
        <v>3</v>
      </c>
      <c r="B63" s="3" t="str">
        <f>TRIM('[1]UNIDAD 3'!E10)</f>
        <v>Exploro</v>
      </c>
      <c r="C63" s="3">
        <f>'[1]UNIDAD 3'!F10</f>
        <v>8</v>
      </c>
      <c r="D63" s="3">
        <f>'[1]UNIDAD 3'!H10</f>
        <v>6</v>
      </c>
      <c r="E63" s="2" t="str">
        <f>'[1]UNIDAD 3'!L10</f>
        <v>Comunicando el proceso de indagación en modelación científica.</v>
      </c>
      <c r="F63" s="3" t="str">
        <f>'[1]UNIDAD 3'!R10</f>
        <v>Reconocimiento</v>
      </c>
      <c r="G63" s="3" t="str">
        <f>'[1]UNIDAD 3'!P10</f>
        <v>MEDIA</v>
      </c>
      <c r="H63" s="2" t="str">
        <f>'[1]UNIDAD 3'!J10</f>
        <v>Aspectos analíticos de las mezclas</v>
      </c>
      <c r="I63" s="2" t="str">
        <f>'[1]UNIDAD 3'!T10</f>
        <v>Presenta ejemplos y contraejemplos del proceso de indagación y los resultados, utilizando gráficas, tablas, ecuaciones aritméticas y algebraicas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63" s="2" t="str">
        <f>'[1]UNIDAD 3'!O10</f>
        <v>Identificar situaciones donde se utiliza incorrectamente los elementos del método científico.</v>
      </c>
    </row>
    <row r="64" spans="1:10" ht="75" customHeight="1" x14ac:dyDescent="0.35">
      <c r="A64" s="3" t="s">
        <v>3</v>
      </c>
      <c r="B64" s="3" t="str">
        <f>TRIM('[1]UNIDAD 3'!E11)</f>
        <v>Exploro</v>
      </c>
      <c r="C64" s="3">
        <f>'[1]UNIDAD 3'!F11</f>
        <v>9</v>
      </c>
      <c r="D64" s="3">
        <f>'[1]UNIDAD 3'!H11</f>
        <v>6</v>
      </c>
      <c r="E64" s="2" t="str">
        <f>'[1]UNIDAD 3'!L11</f>
        <v>Comunicando el proceso de indagación en modelación científica.</v>
      </c>
      <c r="F64" s="3" t="str">
        <f>'[1]UNIDAD 3'!R11</f>
        <v>Comprensión</v>
      </c>
      <c r="G64" s="3" t="str">
        <f>'[1]UNIDAD 3'!P11</f>
        <v>MEDIA</v>
      </c>
      <c r="H64" s="2" t="str">
        <f>'[1]UNIDAD 3'!J11</f>
        <v>Aspectos analíticos de las mezclas</v>
      </c>
      <c r="I64" s="2" t="str">
        <f>'[1]UNIDAD 3'!T11</f>
        <v>Pide a los estudiantes que expliquen con sus propias palabras el proceso de indagación y los resultados, utilizando gráficas, tablas, ecuaciones aritméticas y algebraicas, verificando que usen correctamente el lenguaje científico. Complementa pidiendo que registre el proceso en informes o gráficas claras, verificables por un tercero. Verifica que el estudiante formule preguntas y analice resultados propios, y no solo responda preguntas cerradas.</v>
      </c>
      <c r="J64" s="2" t="str">
        <f>'[1]UNIDAD 3'!O11</f>
        <v>Expresar los resultados de una manera correcta sin alterarlos.</v>
      </c>
    </row>
    <row r="65" spans="1:10" ht="60" customHeight="1" x14ac:dyDescent="0.35">
      <c r="A65" s="3" t="s">
        <v>3</v>
      </c>
      <c r="B65" s="3" t="str">
        <f>TRIM('[1]UNIDAD 3'!E12)</f>
        <v>Exploro</v>
      </c>
      <c r="C65" s="3" t="str">
        <f>'[1]UNIDAD 3'!F12</f>
        <v>10</v>
      </c>
      <c r="D65" s="3">
        <f>'[1]UNIDAD 3'!H12</f>
        <v>6</v>
      </c>
      <c r="E65" s="2" t="str">
        <f>'[1]UNIDAD 3'!L12</f>
        <v>Integrando las transformaciones de la materia con los cambios de las sustancias en la vida cotidiana.</v>
      </c>
      <c r="F65" s="3" t="str">
        <f>'[1]UNIDAD 3'!R12</f>
        <v>Aplicación</v>
      </c>
      <c r="G65" s="3" t="str">
        <f>'[1]UNIDAD 3'!P12</f>
        <v>MEDIA</v>
      </c>
      <c r="H65" s="2" t="str">
        <f>'[1]UNIDAD 3'!J12</f>
        <v>Aspectos analíticos de las mezclas</v>
      </c>
      <c r="I65" s="2" t="str">
        <f>'[1]UNIDAD 3'!T12</f>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
      <c r="J65" s="2" t="str">
        <f>'[1]UNIDAD 3'!O12</f>
        <v>Realizar cálculos para determinar proporciones estequiométricas.</v>
      </c>
    </row>
    <row r="66" spans="1:10" ht="60" customHeight="1" x14ac:dyDescent="0.35">
      <c r="A66" s="3" t="s">
        <v>3</v>
      </c>
      <c r="B66" s="3" t="str">
        <f>TRIM('[1]UNIDAD 3'!E13)</f>
        <v>Desarrollo</v>
      </c>
      <c r="C66" s="3">
        <f>'[1]UNIDAD 3'!F13</f>
        <v>1</v>
      </c>
      <c r="D66" s="3">
        <f>'[1]UNIDAD 3'!H13</f>
        <v>6</v>
      </c>
      <c r="E66" s="2" t="str">
        <f>'[1]UNIDAD 3'!L13</f>
        <v>Integrando las transformaciones de la materia con los cambios de las sustancias en la vida cotidiana.</v>
      </c>
      <c r="F66" s="3" t="str">
        <f>'[1]UNIDAD 3'!R13</f>
        <v>Reconocimiento</v>
      </c>
      <c r="G66" s="3" t="str">
        <f>'[1]UNIDAD 3'!P13</f>
        <v>MEDIA</v>
      </c>
      <c r="H66" s="2" t="str">
        <f>'[1]UNIDAD 3'!J13</f>
        <v>Aspectos fisicoquímicos de las sustancias</v>
      </c>
      <c r="I66" s="2" t="str">
        <f>'[1]UNIDAD 3'!T13</f>
        <v>Presenta ejemplos y contraejemplos de cálculos cuantitativos en cambios químicos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66" s="2" t="str">
        <f>'[1]UNIDAD 3'!O13</f>
        <v>Reconocer que los cambios químicos se representan mediante ecuaciones.</v>
      </c>
    </row>
    <row r="67" spans="1:10" ht="60" customHeight="1" x14ac:dyDescent="0.35">
      <c r="A67" s="3" t="s">
        <v>3</v>
      </c>
      <c r="B67" s="3" t="str">
        <f>TRIM('[1]UNIDAD 3'!E14)</f>
        <v>Desarrollo</v>
      </c>
      <c r="C67" s="3">
        <f>'[1]UNIDAD 3'!F14</f>
        <v>2</v>
      </c>
      <c r="D67" s="3">
        <f>'[1]UNIDAD 3'!H14</f>
        <v>6</v>
      </c>
      <c r="E67" s="2" t="str">
        <f>'[1]UNIDAD 3'!L14</f>
        <v>Integrando las transformaciones de la materia con los cambios de las sustancias en la vida cotidiana.</v>
      </c>
      <c r="F67" s="3" t="str">
        <f>'[1]UNIDAD 3'!R14</f>
        <v>Análisis</v>
      </c>
      <c r="G67" s="3" t="str">
        <f>'[1]UNIDAD 3'!P14</f>
        <v>ALTA</v>
      </c>
      <c r="H67" s="2" t="str">
        <f>'[1]UNIDAD 3'!J14</f>
        <v>Aspectos fisicoquímicos de las sustancias</v>
      </c>
      <c r="I67" s="2" t="str">
        <f>'[1]UNIDAD 3'!T14</f>
        <v>Proporciona ejemplos concretos del efecto de presión y temperatura en los cambios químicos y guía a los estudiantes para que comparen semejanzas y diferencias con un cuadro comparativo. Complementa con ejercicios de balanceo y estequiometría aplicados a ejemplos observables de la vida cotidiana. Verifica que el estudiante pueda juzgar la validez de una afirmación o de un modelo explicativo, y no solo describirlo.</v>
      </c>
      <c r="J67" s="2" t="str">
        <f>'[1]UNIDAD 3'!O14</f>
        <v>Comparar los diferentes cambios químicos y cómo estos se pueden afectar por los cambios en la temperatura o la presión.</v>
      </c>
    </row>
    <row r="68" spans="1:10" ht="75" customHeight="1" x14ac:dyDescent="0.35">
      <c r="A68" s="3" t="s">
        <v>3</v>
      </c>
      <c r="B68" s="3" t="str">
        <f>TRIM('[1]UNIDAD 3'!E15)</f>
        <v>Desarrollo</v>
      </c>
      <c r="C68" s="3">
        <f>'[1]UNIDAD 3'!F15</f>
        <v>3</v>
      </c>
      <c r="D68" s="3">
        <f>'[1]UNIDAD 3'!H15</f>
        <v>6</v>
      </c>
      <c r="E68" s="2" t="str">
        <f>'[1]UNIDAD 3'!L15</f>
        <v>Evaluando descripciones, evidencias y explicaciones de la comunicación en el trabajo científico.</v>
      </c>
      <c r="F68" s="3" t="str">
        <f>'[1]UNIDAD 3'!R15</f>
        <v>Comprensión</v>
      </c>
      <c r="G68" s="3" t="str">
        <f>'[1]UNIDAD 3'!P15</f>
        <v>BAJA</v>
      </c>
      <c r="H68" s="2" t="str">
        <f>'[1]UNIDAD 3'!J15</f>
        <v>Aspectos fisicoquímicos de las sustancias</v>
      </c>
      <c r="I68" s="2" t="str">
        <f>'[1]UNIDAD 3'!T15</f>
        <v>Pide a los estudiantes que expliquen con sus propias palabras información en diferentes fuentes, escojo la pertinente y doy el crédito correspondiente, verificando que usen correctamente el lenguaje científico. Complementa pidiendo que distinga, en un mismo texto, qué es descripción, qué es evidencia y qué es explicación. Verifica que el estudiante formule preguntas y analice resultados propios, y no solo responda preguntas cerradas.</v>
      </c>
      <c r="J68" s="2" t="str">
        <f>'[1]UNIDAD 3'!O15</f>
        <v>Otorgar valores de validez a las posibles fuentes de información.</v>
      </c>
    </row>
    <row r="69" spans="1:10" ht="60" customHeight="1" x14ac:dyDescent="0.35">
      <c r="A69" s="3" t="s">
        <v>3</v>
      </c>
      <c r="B69" s="3" t="str">
        <f>TRIM('[1]UNIDAD 3'!E16)</f>
        <v>Desarrollo</v>
      </c>
      <c r="C69" s="3">
        <f>'[1]UNIDAD 3'!F16</f>
        <v>4</v>
      </c>
      <c r="D69" s="3">
        <f>'[1]UNIDAD 3'!H16</f>
        <v>6</v>
      </c>
      <c r="E69" s="2" t="str">
        <f>'[1]UNIDAD 3'!L16</f>
        <v>Integrando las transformaciones de la materia con los cambios de las sustancias en la vida cotidiana.</v>
      </c>
      <c r="F69" s="3" t="str">
        <f>'[1]UNIDAD 3'!R16</f>
        <v>Aplicación</v>
      </c>
      <c r="G69" s="3" t="str">
        <f>'[1]UNIDAD 3'!P16</f>
        <v>MEDIA</v>
      </c>
      <c r="H69" s="2" t="str">
        <f>'[1]UNIDAD 3'!J16</f>
        <v>Aspectos fisicoquímicos de las mezclas</v>
      </c>
      <c r="I69" s="2" t="str">
        <f>'[1]UNIDAD 3'!T16</f>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
      <c r="J69" s="2" t="str">
        <f>'[1]UNIDAD 3'!O16</f>
        <v>Realizar cálculos para determinar proporciones estequiométricas a partir de la pureza y rendimiento de la reacción.</v>
      </c>
    </row>
    <row r="70" spans="1:10" ht="60" customHeight="1" x14ac:dyDescent="0.35">
      <c r="A70" s="3" t="s">
        <v>3</v>
      </c>
      <c r="B70" s="3" t="str">
        <f>TRIM('[1]UNIDAD 3'!E17)</f>
        <v>Desarrollo</v>
      </c>
      <c r="C70" s="3">
        <f>'[1]UNIDAD 3'!F17</f>
        <v>5</v>
      </c>
      <c r="D70" s="3">
        <f>'[1]UNIDAD 3'!H17</f>
        <v>6</v>
      </c>
      <c r="E70" s="2" t="str">
        <f>'[1]UNIDAD 3'!L17</f>
        <v>Integrando las transformaciones de la materia con los cambios de las sustancias en la vida cotidiana.</v>
      </c>
      <c r="F70" s="3" t="str">
        <f>'[1]UNIDAD 3'!R17</f>
        <v>Aplicación</v>
      </c>
      <c r="G70" s="3" t="str">
        <f>'[1]UNIDAD 3'!P17</f>
        <v>BAJA</v>
      </c>
      <c r="H70" s="2" t="str">
        <f>'[1]UNIDAD 3'!J17</f>
        <v>Aspectos fisicoquímicos de las mezclas</v>
      </c>
      <c r="I70" s="2" t="str">
        <f>'[1]UNIDAD 3'!T17</f>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no se limite a repetir el concepto, sino que lo use para resolver un problema distinto al trabajado en clase.</v>
      </c>
      <c r="J70" s="2" t="str">
        <f>'[1]UNIDAD 3'!O17</f>
        <v>Calcular el producto obtenido teniendo en cuenta la pureza de los reactantes.</v>
      </c>
    </row>
    <row r="71" spans="1:10" ht="60" customHeight="1" x14ac:dyDescent="0.35">
      <c r="A71" s="3" t="s">
        <v>3</v>
      </c>
      <c r="B71" s="3" t="str">
        <f>TRIM('[1]UNIDAD 3'!E18)</f>
        <v>Desarrollo</v>
      </c>
      <c r="C71" s="3">
        <f>'[1]UNIDAD 3'!F18</f>
        <v>6</v>
      </c>
      <c r="D71" s="3">
        <f>'[1]UNIDAD 3'!H18</f>
        <v>6</v>
      </c>
      <c r="E71" s="2" t="str">
        <f>'[1]UNIDAD 3'!L18</f>
        <v>Integrando las transformaciones de la materia con los cambios de las sustancias en la vida cotidiana.</v>
      </c>
      <c r="F71" s="3" t="str">
        <f>'[1]UNIDAD 3'!R18</f>
        <v>Comprensión</v>
      </c>
      <c r="G71" s="3" t="str">
        <f>'[1]UNIDAD 3'!P18</f>
        <v>ALTA</v>
      </c>
      <c r="H71" s="2" t="str">
        <f>'[1]UNIDAD 3'!J18</f>
        <v>Aspectos analíticos de las mezclas</v>
      </c>
      <c r="I71" s="2" t="str">
        <f>'[1]UNIDAD 3'!T18</f>
        <v>Pide a los estudiantes que expliquen con sus propias palabras cálculos cuantitativos en cambios químicos, verificando que usen correctamente el lenguaje científico. Complementa con ejercicios de balanceo y estequiometría aplicados a ejemplos observables de la vida cotidiana. Verifica que el estudiante no se limite a repetir el concepto, sino que lo use para resolver un problema distinto al trabajado en clase.</v>
      </c>
      <c r="J71" s="2" t="str">
        <f>'[1]UNIDAD 3'!O18</f>
        <v>Describir a partir de tablas de información porcentual o de masa, relaciones entre las fórmulas mínimas o moleculares de un determinado compuesto químico.</v>
      </c>
    </row>
    <row r="72" spans="1:10" ht="60" customHeight="1" x14ac:dyDescent="0.35">
      <c r="A72" s="3" t="s">
        <v>3</v>
      </c>
      <c r="B72" s="3" t="str">
        <f>TRIM('[1]UNIDAD 3'!E19)</f>
        <v>Desarrollo</v>
      </c>
      <c r="C72" s="3">
        <f>'[1]UNIDAD 3'!F19</f>
        <v>7</v>
      </c>
      <c r="D72" s="3">
        <f>'[1]UNIDAD 3'!H19</f>
        <v>6</v>
      </c>
      <c r="E72" s="2" t="str">
        <f>'[1]UNIDAD 3'!L19</f>
        <v>Integrando las transformaciones de la materia con los cambios de las sustancias en la vida cotidiana.</v>
      </c>
      <c r="F72" s="3" t="str">
        <f>'[1]UNIDAD 3'!R19</f>
        <v>Análisis</v>
      </c>
      <c r="G72" s="3" t="str">
        <f>'[1]UNIDAD 3'!P19</f>
        <v>MEDIA</v>
      </c>
      <c r="H72" s="2" t="str">
        <f>'[1]UNIDAD 3'!J19</f>
        <v>Aspectos analíticos de las mezclas</v>
      </c>
      <c r="I72" s="2" t="str">
        <f>'[1]UNIDAD 3'!T19</f>
        <v>Proporciona ejemplos concretos de cálculos cuantitativos en cambios químicos y guía a los estudiantes para que comparen semejanzas y diferencias con un cuadro comparativo. Complementa con ejercicios de balanceo y estequiometría aplicados a ejemplos observables de la vida cotidiana. Verifica que el estudiante pueda juzgar la validez de una afirmación o de un modelo explicativo, y no solo describirlo.</v>
      </c>
      <c r="J72" s="2" t="str">
        <f>'[1]UNIDAD 3'!O19</f>
        <v>Comparar en situaciones los gramos/moles del reactante en exceso o cuánto se necesita para que la reacción sea completa.</v>
      </c>
    </row>
    <row r="73" spans="1:10" ht="75" customHeight="1" x14ac:dyDescent="0.35">
      <c r="A73" s="3" t="s">
        <v>3</v>
      </c>
      <c r="B73" s="3" t="str">
        <f>TRIM('[1]UNIDAD 3'!E20)</f>
        <v>Desarrollo</v>
      </c>
      <c r="C73" s="3" t="str">
        <f>'[1]UNIDAD 3'!F20</f>
        <v>8</v>
      </c>
      <c r="D73" s="3">
        <f>'[1]UNIDAD 3'!H20</f>
        <v>6</v>
      </c>
      <c r="E73" s="2" t="str">
        <f>'[1]UNIDAD 3'!L20</f>
        <v>Modelando y diseñando experiencias para reconocer las variables que permiten obtener resultados y conclusiones.</v>
      </c>
      <c r="F73" s="3" t="str">
        <f>'[1]UNIDAD 3'!R20</f>
        <v>Reconocimiento</v>
      </c>
      <c r="G73" s="3" t="str">
        <f>'[1]UNIDAD 3'!P20</f>
        <v>BAJA</v>
      </c>
      <c r="H73" s="2" t="str">
        <f>'[1]UNIDAD 3'!J20</f>
        <v>Aspectos analíticos de las mezclas</v>
      </c>
      <c r="I73" s="2" t="str">
        <f>'[1]UNIDAD 3'!T20</f>
        <v>Presenta ejemplos y contraejemplos de y realizo experimentos y verifico el efecto de modificar diversas variables para dar respuesta a preguntas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
      <c r="J73" s="2" t="str">
        <f>'[1]UNIDAD 3'!O20</f>
        <v>Identificar la pregunta a resolver en una investigación o en un experimento.</v>
      </c>
    </row>
    <row r="74" spans="1:10" ht="60" customHeight="1" x14ac:dyDescent="0.35">
      <c r="A74" s="3" t="s">
        <v>3</v>
      </c>
      <c r="B74" s="3" t="str">
        <f>TRIM('[1]UNIDAD 3'!E21)</f>
        <v>Desarrollo</v>
      </c>
      <c r="C74" s="3">
        <f>'[1]UNIDAD 3'!F21</f>
        <v>9</v>
      </c>
      <c r="D74" s="3">
        <f>'[1]UNIDAD 3'!H21</f>
        <v>6</v>
      </c>
      <c r="E74" s="2" t="str">
        <f>'[1]UNIDAD 3'!L21</f>
        <v>Integrando las transformaciones de la materia con los cambios de las sustancias en la vida cotidiana.</v>
      </c>
      <c r="F74" s="3" t="str">
        <f>'[1]UNIDAD 3'!R21</f>
        <v>Reconocimiento</v>
      </c>
      <c r="G74" s="3" t="str">
        <f>'[1]UNIDAD 3'!P21</f>
        <v>MEDIA</v>
      </c>
      <c r="H74" s="2" t="str">
        <f>'[1]UNIDAD 3'!J21</f>
        <v>Aspectos fisicoquímicos de las mezclas</v>
      </c>
      <c r="I74" s="2" t="str">
        <f>'[1]UNIDAD 3'!T21</f>
        <v>Presenta ejemplos y contraejemplos de cálculos cuantitativos en cambios químicos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74" s="2" t="str">
        <f>'[1]UNIDAD 3'!O21</f>
        <v>Reconocer la manera en que una reacción química está escrita correctamente.</v>
      </c>
    </row>
    <row r="75" spans="1:10" ht="60" customHeight="1" x14ac:dyDescent="0.35">
      <c r="A75" s="3" t="s">
        <v>3</v>
      </c>
      <c r="B75" s="3" t="str">
        <f>TRIM('[1]UNIDAD 3'!E22)</f>
        <v>Desarrollo</v>
      </c>
      <c r="C75" s="3">
        <f>'[1]UNIDAD 3'!F22</f>
        <v>10</v>
      </c>
      <c r="D75" s="3">
        <f>'[1]UNIDAD 3'!H22</f>
        <v>6</v>
      </c>
      <c r="E75" s="2" t="str">
        <f>'[1]UNIDAD 3'!L22</f>
        <v>Integrando las transformaciones de la materia con los cambios de las sustancias en la vida cotidiana.</v>
      </c>
      <c r="F75" s="3" t="str">
        <f>'[1]UNIDAD 3'!R22</f>
        <v>Comprensión</v>
      </c>
      <c r="G75" s="3" t="str">
        <f>'[1]UNIDAD 3'!P22</f>
        <v>BAJA</v>
      </c>
      <c r="H75" s="2" t="str">
        <f>'[1]UNIDAD 3'!J22</f>
        <v>Aspectos analíticos de las mezclas</v>
      </c>
      <c r="I75" s="2" t="str">
        <f>'[1]UNIDAD 3'!T22</f>
        <v>Pide a los estudiantes que expliquen con sus propias palabras cálculos cuantitativos en cambios químicos, verificando que usen correctamente el lenguaje científico. Complementa con ejercicios de balanceo y estequiometría aplicados a ejemplos observables de la vida cotidiana. Verifica que el estudiante no se limite a repetir el concepto, sino que lo use para resolver un problema distinto al trabajado en clase.</v>
      </c>
      <c r="J75" s="2" t="str">
        <f>'[1]UNIDAD 3'!O22</f>
        <v>Describir a partir de un artículo o de información, qué cambios químicos se realizan y/o la ecuación que corresponde a dicho cambio químico.</v>
      </c>
    </row>
    <row r="76" spans="1:10" ht="75" customHeight="1" x14ac:dyDescent="0.35">
      <c r="A76" s="3" t="s">
        <v>3</v>
      </c>
      <c r="B76" s="3" t="str">
        <f>TRIM('[1]UNIDAD 3'!E23)</f>
        <v>Desarrollo</v>
      </c>
      <c r="C76" s="3">
        <f>'[1]UNIDAD 3'!F23</f>
        <v>11</v>
      </c>
      <c r="D76" s="3">
        <f>'[1]UNIDAD 3'!H23</f>
        <v>6</v>
      </c>
      <c r="E76" s="2" t="str">
        <f>'[1]UNIDAD 3'!L23</f>
        <v>Procesando información registrando y midiendo de manera adecuada las observaciones del proceso de modelación científico.</v>
      </c>
      <c r="F76" s="3" t="str">
        <f>'[1]UNIDAD 3'!R23</f>
        <v>Reconocimiento</v>
      </c>
      <c r="G76" s="3" t="str">
        <f>'[1]UNIDAD 3'!P23</f>
        <v>MEDIA</v>
      </c>
      <c r="H76" s="2" t="str">
        <f>'[1]UNIDAD 3'!J23</f>
        <v>Aspectos analíticos de las sustancias</v>
      </c>
      <c r="I76" s="2" t="str">
        <f>'[1]UNIDAD 3'!T23</f>
        <v>Presenta ejemplos y contraejemplos de mediciones con instrumentos y equipos adecuados a las características y magnitudes de los objetos y las expreso en las unidades correspondientes y pide a los estudiantes que los clasifiquen, antes de avanzar a preguntas más complejas. Complementa pidiendo que registre datos con unidades y cifras significativas correctas. Verifica que el estudiante formule preguntas y analice resultados propios, y no solo responda preguntas cerradas.</v>
      </c>
      <c r="J76" s="2" t="str">
        <f>'[1]UNIDAD 3'!O23</f>
        <v>Identificar los instrumentos de medida adecuados para establecer las características y propiedades de diferentes objetos.</v>
      </c>
    </row>
    <row r="77" spans="1:10" ht="60" customHeight="1" x14ac:dyDescent="0.35">
      <c r="A77" s="3" t="s">
        <v>3</v>
      </c>
      <c r="B77" s="3" t="str">
        <f>TRIM('[1]UNIDAD 3'!E24)</f>
        <v>Desarrollo</v>
      </c>
      <c r="C77" s="3">
        <f>'[1]UNIDAD 3'!F24</f>
        <v>12</v>
      </c>
      <c r="D77" s="3">
        <f>'[1]UNIDAD 3'!H24</f>
        <v>6</v>
      </c>
      <c r="E77" s="2" t="str">
        <f>'[1]UNIDAD 3'!L24</f>
        <v>Integrando las transformaciones de la materia con los cambios de las sustancias en la vida cotidiana.</v>
      </c>
      <c r="F77" s="3" t="str">
        <f>'[1]UNIDAD 3'!R24</f>
        <v>Argumentación</v>
      </c>
      <c r="G77" s="3" t="str">
        <f>'[1]UNIDAD 3'!P24</f>
        <v>BAJA</v>
      </c>
      <c r="H77" s="2" t="str">
        <f>'[1]UNIDAD 3'!J24</f>
        <v>Aspectos analíticos de las mezclas</v>
      </c>
      <c r="I77" s="2" t="str">
        <f>'[1]UNIDAD 3'!T24</f>
        <v>Propón situaciones en las que los estudiantes deban argumentar y sustentar con evidencia sus respuestas acerca de cálculos cuantitativos en cambios químicos. Complementa con ejercicios de balanceo y estequiometría aplicados a ejemplos observables de la vida cotidiana. Verifica que el estudiante pueda juzgar la validez de una afirmación o de un modelo explicativo, y no solo describirlo.</v>
      </c>
      <c r="J77" s="2" t="str">
        <f>'[1]UNIDAD 3'!O24</f>
        <v>Explicar aspectos de cómo están escritas las ecuaciones químicas.</v>
      </c>
    </row>
    <row r="78" spans="1:10" ht="60" customHeight="1" x14ac:dyDescent="0.35">
      <c r="A78" s="3" t="s">
        <v>3</v>
      </c>
      <c r="B78" s="3" t="str">
        <f>TRIM('[1]UNIDAD 3'!E25)</f>
        <v>Desarrollo</v>
      </c>
      <c r="C78" s="3">
        <f>'[1]UNIDAD 3'!F25</f>
        <v>13</v>
      </c>
      <c r="D78" s="3">
        <f>'[1]UNIDAD 3'!H25</f>
        <v>6</v>
      </c>
      <c r="E78" s="2" t="str">
        <f>'[1]UNIDAD 3'!L25</f>
        <v>Integrando las transformaciones de la materia con los cambios de las sustancias en la vida cotidiana.</v>
      </c>
      <c r="F78" s="3" t="str">
        <f>'[1]UNIDAD 3'!R25</f>
        <v>Aplicación</v>
      </c>
      <c r="G78" s="3" t="str">
        <f>'[1]UNIDAD 3'!P25</f>
        <v>BAJA</v>
      </c>
      <c r="H78" s="2" t="str">
        <f>'[1]UNIDAD 3'!J25</f>
        <v>Aspectos fisicoquímicos de las mezclas</v>
      </c>
      <c r="I78" s="2" t="str">
        <f>'[1]UNIDAD 3'!T25</f>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no se limite a repetir el concepto, sino que lo use para resolver un problema distinto al trabajado en clase.</v>
      </c>
      <c r="J78" s="2" t="str">
        <f>'[1]UNIDAD 3'!O25</f>
        <v>Balancear correctamente una ecuación química.</v>
      </c>
    </row>
    <row r="79" spans="1:10" ht="60" customHeight="1" x14ac:dyDescent="0.35">
      <c r="A79" s="3" t="s">
        <v>3</v>
      </c>
      <c r="B79" s="3" t="str">
        <f>TRIM('[1]UNIDAD 3'!E26)</f>
        <v>Desarrollo</v>
      </c>
      <c r="C79" s="3">
        <f>'[1]UNIDAD 3'!F26</f>
        <v>14</v>
      </c>
      <c r="D79" s="3">
        <f>'[1]UNIDAD 3'!H26</f>
        <v>6</v>
      </c>
      <c r="E79" s="2" t="str">
        <f>'[1]UNIDAD 3'!L26</f>
        <v>Integrando las transformaciones de la materia con los cambios de las sustancias en la vida cotidiana.</v>
      </c>
      <c r="F79" s="3" t="str">
        <f>'[1]UNIDAD 3'!R26</f>
        <v>Aplicación</v>
      </c>
      <c r="G79" s="3" t="str">
        <f>'[1]UNIDAD 3'!P26</f>
        <v>BAJA</v>
      </c>
      <c r="H79" s="2" t="str">
        <f>'[1]UNIDAD 3'!J26</f>
        <v>Aspectos fisicoquímicos de las mezclas</v>
      </c>
      <c r="I79" s="2" t="str">
        <f>'[1]UNIDAD 3'!T26</f>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
      <c r="J79" s="2" t="str">
        <f>'[1]UNIDAD 3'!O26</f>
        <v>Estimar en situaciones los gramos/moles del reactante en exceso o cuánto se necesita para que la reacción sea completa.</v>
      </c>
    </row>
    <row r="80" spans="1:10" ht="60" customHeight="1" x14ac:dyDescent="0.35">
      <c r="A80" s="3" t="s">
        <v>3</v>
      </c>
      <c r="B80" s="3" t="str">
        <f>TRIM('[1]UNIDAD 3'!E27)</f>
        <v>Desarrollo</v>
      </c>
      <c r="C80" s="3">
        <f>'[1]UNIDAD 3'!F27</f>
        <v>15</v>
      </c>
      <c r="D80" s="3">
        <f>'[1]UNIDAD 3'!H27</f>
        <v>6</v>
      </c>
      <c r="E80" s="2" t="str">
        <f>'[1]UNIDAD 3'!L27</f>
        <v>Integrando las transformaciones de la materia con los cambios de las sustancias en la vida cotidiana.</v>
      </c>
      <c r="F80" s="3" t="str">
        <f>'[1]UNIDAD 3'!R27</f>
        <v>Aplicación</v>
      </c>
      <c r="G80" s="3" t="str">
        <f>'[1]UNIDAD 3'!P27</f>
        <v>ALTA</v>
      </c>
      <c r="H80" s="2" t="str">
        <f>'[1]UNIDAD 3'!J27</f>
        <v>Aspectos fisicoquímicos de las mezclas</v>
      </c>
      <c r="I80" s="2" t="str">
        <f>'[1]UNIDAD 3'!T27</f>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no se limite a repetir el concepto, sino que lo use para resolver un problema distinto al trabajado en clase.</v>
      </c>
      <c r="J80" s="2" t="str">
        <f>'[1]UNIDAD 3'!O27</f>
        <v>Calcular el reactivo límite y los productos de dicha reacción química o encontrar el equivalente estequiométrico.</v>
      </c>
    </row>
    <row r="81" spans="1:10" ht="60" customHeight="1" x14ac:dyDescent="0.35">
      <c r="A81" s="3" t="s">
        <v>3</v>
      </c>
      <c r="B81" s="3" t="str">
        <f>TRIM('[1]UNIDAD 3'!E28)</f>
        <v>Aplico</v>
      </c>
      <c r="C81" s="3" t="str">
        <f>'[1]UNIDAD 3'!F28</f>
        <v>1</v>
      </c>
      <c r="D81" s="3">
        <f>'[1]UNIDAD 3'!H28</f>
        <v>6</v>
      </c>
      <c r="E81" s="2" t="str">
        <f>'[1]UNIDAD 3'!L28</f>
        <v>Integrando las transformaciones de la materia con los cambios de las sustancias en la vida cotidiana.</v>
      </c>
      <c r="F81" s="3" t="str">
        <f>'[1]UNIDAD 3'!R28</f>
        <v>Aplicación</v>
      </c>
      <c r="G81" s="3" t="str">
        <f>'[1]UNIDAD 3'!P28</f>
        <v>MEDIA</v>
      </c>
      <c r="H81" s="2" t="str">
        <f>'[1]UNIDAD 3'!J28</f>
        <v>Aspectos fisicoquímicos de las mezclas</v>
      </c>
      <c r="I81" s="2" t="str">
        <f>'[1]UNIDAD 3'!T28</f>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
      <c r="J81" s="2" t="str">
        <f>'[1]UNIDAD 3'!O28</f>
        <v>Realizar cálculos para determinar proporciones estequiométricas a partir de la pureza y rendimiento de la reacción.</v>
      </c>
    </row>
    <row r="82" spans="1:10" ht="60" customHeight="1" x14ac:dyDescent="0.35">
      <c r="A82" s="3" t="s">
        <v>3</v>
      </c>
      <c r="B82" s="3" t="str">
        <f>TRIM('[1]UNIDAD 3'!E29)</f>
        <v>Aplico</v>
      </c>
      <c r="C82" s="3" t="str">
        <f>'[1]UNIDAD 3'!F29</f>
        <v>2</v>
      </c>
      <c r="D82" s="3" t="str">
        <f>'[1]UNIDAD 3'!H29</f>
        <v>6</v>
      </c>
      <c r="E82" s="2" t="str">
        <f>'[1]UNIDAD 3'!L29</f>
        <v>Integrando las transformaciones de la materia con los cambios de las sustancias en la vida cotidiana.</v>
      </c>
      <c r="F82" s="3" t="str">
        <f>'[1]UNIDAD 3'!R29</f>
        <v>Aplicación</v>
      </c>
      <c r="G82" s="3" t="str">
        <f>'[1]UNIDAD 3'!P29</f>
        <v>ALTA</v>
      </c>
      <c r="H82" s="2" t="str">
        <f>'[1]UNIDAD 3'!J29</f>
        <v>Aspectos fisicoquímicos de las mezclas</v>
      </c>
      <c r="I82" s="2" t="str">
        <f>'[1]UNIDAD 3'!T29</f>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no se limite a repetir el concepto, sino que lo use para resolver un problema distinto al trabajado en clase.</v>
      </c>
      <c r="J82" s="2" t="str">
        <f>'[1]UNIDAD 3'!O29</f>
        <v>Balancear correctamente una ecuación química.</v>
      </c>
    </row>
    <row r="83" spans="1:10" ht="60" customHeight="1" x14ac:dyDescent="0.35">
      <c r="A83" s="3" t="s">
        <v>3</v>
      </c>
      <c r="B83" s="3" t="str">
        <f>TRIM('[1]UNIDAD 3'!E30)</f>
        <v>Aplico</v>
      </c>
      <c r="C83" s="3" t="str">
        <f>'[1]UNIDAD 3'!F30</f>
        <v>3</v>
      </c>
      <c r="D83" s="3" t="str">
        <f>'[1]UNIDAD 3'!H30</f>
        <v>6</v>
      </c>
      <c r="E83" s="2" t="str">
        <f>'[1]UNIDAD 3'!L30</f>
        <v>Integrando las transformaciones de la materia con los cambios de las sustancias en la vida cotidiana.</v>
      </c>
      <c r="F83" s="3" t="str">
        <f>'[1]UNIDAD 3'!R30</f>
        <v>Aplicación</v>
      </c>
      <c r="G83" s="3" t="str">
        <f>'[1]UNIDAD 3'!P30</f>
        <v>ALTA</v>
      </c>
      <c r="H83" s="2" t="str">
        <f>'[1]UNIDAD 3'!J30</f>
        <v>Aspectos analíticos de las mezclas</v>
      </c>
      <c r="I83" s="2" t="str">
        <f>'[1]UNIDAD 3'!T30</f>
        <v>Realiza ejercicios prácticos guiados paso a paso sobre cálculos cuantitativos en cambios químicos,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
      <c r="J83" s="2" t="str">
        <f>'[1]UNIDAD 3'!O30</f>
        <v>Estimar en situaciones los gramos/moles del reactante en exceso o cuánto se necesita para que la reacción sea completa.</v>
      </c>
    </row>
    <row r="84" spans="1:10" ht="60" customHeight="1" x14ac:dyDescent="0.35">
      <c r="A84" s="3" t="s">
        <v>2</v>
      </c>
      <c r="B84" s="3" t="str">
        <f>TRIM('[1]UNIDAD 4'!E3)</f>
        <v>Exploro</v>
      </c>
      <c r="C84" s="3" t="str">
        <f>'[1]UNIDAD 4'!F3</f>
        <v>1</v>
      </c>
      <c r="D84" s="3">
        <f>'[1]UNIDAD 4'!H3</f>
        <v>6</v>
      </c>
      <c r="E84" s="2" t="str">
        <f>'[1]UNIDAD 4'!L3</f>
        <v>Integrando las transformaciones de la materia con los cambios de las sustancias en la vida cotidiana.</v>
      </c>
      <c r="F84" s="3" t="str">
        <f>'[1]UNIDAD 4'!R3</f>
        <v>Comprensión</v>
      </c>
      <c r="G84" s="3" t="str">
        <f>'[1]UNIDAD 4'!P3</f>
        <v>BAJA</v>
      </c>
      <c r="H84" s="2" t="str">
        <f>'[1]UNIDAD 4'!J3</f>
        <v>Aspectos analíticos de las sustancias</v>
      </c>
      <c r="I84" s="2" t="str">
        <f>'[1]UNIDAD 4'!T3</f>
        <v>Pide a los estudiantes que expliquen con sus propias palabras cambios químicos en condiciones de equilibrio, verificando que usen correctamente el lenguaje científico. Complementa con ejercicios de balanceo y estequiometría aplicados a ejemplos observables de la vida cotidiana. Verifica que el estudiante no se limite a repetir el concepto, sino que lo use para resolver un problema distinto al trabajado en clase.</v>
      </c>
      <c r="J84" s="2" t="str">
        <f>'[1]UNIDAD 4'!O3</f>
        <v>Describir cambios químicos a través de la ecuación que corresponde a dicho cambio químico.</v>
      </c>
    </row>
    <row r="85" spans="1:10" ht="75" customHeight="1" x14ac:dyDescent="0.35">
      <c r="A85" s="3" t="s">
        <v>2</v>
      </c>
      <c r="B85" s="3" t="str">
        <f>TRIM('[1]UNIDAD 4'!E4)</f>
        <v>Exploro</v>
      </c>
      <c r="C85" s="3">
        <f>'[1]UNIDAD 4'!F4</f>
        <v>2</v>
      </c>
      <c r="D85" s="3">
        <f>'[1]UNIDAD 4'!H4</f>
        <v>6</v>
      </c>
      <c r="E85" s="2" t="str">
        <f>'[1]UNIDAD 4'!L4</f>
        <v>Integrando las transformaciones de la materia con los cambios de las sustancias en la vida cotidiana.</v>
      </c>
      <c r="F85" s="3" t="str">
        <f>'[1]UNIDAD 4'!R4</f>
        <v>Reconocimiento</v>
      </c>
      <c r="G85" s="3" t="str">
        <f>'[1]UNIDAD 4'!P4</f>
        <v>BAJA</v>
      </c>
      <c r="H85" s="2" t="str">
        <f>'[1]UNIDAD 4'!J4</f>
        <v>Aspectos analíticos de las sustancias</v>
      </c>
      <c r="I85" s="2" t="str">
        <f>'[1]UNIDAD 4'!T4</f>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85" s="2" t="str">
        <f>'[1]UNIDAD 4'!O4</f>
        <v>Identificar algunas propiedades físicas de la materia.</v>
      </c>
    </row>
    <row r="86" spans="1:10" ht="60" customHeight="1" x14ac:dyDescent="0.35">
      <c r="A86" s="3" t="s">
        <v>2</v>
      </c>
      <c r="B86" s="3" t="str">
        <f>TRIM('[1]UNIDAD 4'!E5)</f>
        <v>Exploro</v>
      </c>
      <c r="C86" s="3">
        <f>'[1]UNIDAD 4'!F5</f>
        <v>3</v>
      </c>
      <c r="D86" s="3">
        <f>'[1]UNIDAD 4'!H5</f>
        <v>6</v>
      </c>
      <c r="E86" s="2" t="str">
        <f>'[1]UNIDAD 4'!L5</f>
        <v>Integrando las transformaciones de la materia con los cambios de las sustancias en la vida cotidiana.</v>
      </c>
      <c r="F86" s="3" t="str">
        <f>'[1]UNIDAD 4'!R5</f>
        <v>Argumentación</v>
      </c>
      <c r="G86" s="3" t="str">
        <f>'[1]UNIDAD 4'!P5</f>
        <v>MEDIA</v>
      </c>
      <c r="H86" s="2" t="str">
        <f>'[1]UNIDAD 4'!J5</f>
        <v>Aspectos fisicoquímicos de las mezclas</v>
      </c>
      <c r="I86" s="2" t="str">
        <f>'[1]UNIDAD 4'!T5</f>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pueda juzgar la validez de una afirmación o de un modelo explicativo, y no solo describirlo.</v>
      </c>
      <c r="J86" s="2" t="str">
        <f>'[1]UNIDAD 4'!O5</f>
        <v>Argumentar a partir de situaciones como se afecta la relación soluto-solvente de acuerdo a la temperatura.</v>
      </c>
    </row>
    <row r="87" spans="1:10" ht="60" customHeight="1" x14ac:dyDescent="0.35">
      <c r="A87" s="3" t="s">
        <v>2</v>
      </c>
      <c r="B87" s="3" t="str">
        <f>TRIM('[1]UNIDAD 4'!E6)</f>
        <v>Exploro</v>
      </c>
      <c r="C87" s="3" t="str">
        <f>'[1]UNIDAD 4'!F6</f>
        <v>4</v>
      </c>
      <c r="D87" s="3">
        <f>'[1]UNIDAD 4'!H6</f>
        <v>6</v>
      </c>
      <c r="E87" s="2" t="str">
        <f>'[1]UNIDAD 4'!L6</f>
        <v>Integrando las transformaciones de la materia con los cambios de las sustancias en la vida cotidiana.</v>
      </c>
      <c r="F87" s="3" t="str">
        <f>'[1]UNIDAD 4'!R6</f>
        <v>Argumentación</v>
      </c>
      <c r="G87" s="3" t="str">
        <f>'[1]UNIDAD 4'!P6</f>
        <v>ALTA</v>
      </c>
      <c r="H87" s="2" t="str">
        <f>'[1]UNIDAD 4'!J6</f>
        <v>Aspectos fisicoquímicos de las mezclas</v>
      </c>
      <c r="I87" s="2" t="str">
        <f>'[1]UNIDAD 4'!T6</f>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pueda juzgar la validez de una afirmación o de un modelo explicativo, y no solo describirlo.</v>
      </c>
      <c r="J87" s="2" t="str">
        <f>'[1]UNIDAD 4'!O6</f>
        <v>Explicar la concentración de una disolución de acuerdo a las condiciones de un contexto o situación en particular.</v>
      </c>
    </row>
    <row r="88" spans="1:10" ht="75" customHeight="1" x14ac:dyDescent="0.35">
      <c r="A88" s="3" t="s">
        <v>2</v>
      </c>
      <c r="B88" s="3" t="str">
        <f>TRIM('[1]UNIDAD 4'!E7)</f>
        <v>Exploro</v>
      </c>
      <c r="C88" s="3">
        <f>'[1]UNIDAD 4'!F7</f>
        <v>5</v>
      </c>
      <c r="D88" s="3">
        <f>'[1]UNIDAD 4'!H7</f>
        <v>6</v>
      </c>
      <c r="E88" s="2" t="str">
        <f>'[1]UNIDAD 4'!L7</f>
        <v>Generando explicaciones a preguntas e hipótesis acerca de la modelación científica.</v>
      </c>
      <c r="F88" s="3" t="str">
        <f>'[1]UNIDAD 4'!R7</f>
        <v>Reconocimiento</v>
      </c>
      <c r="G88" s="3" t="str">
        <f>'[1]UNIDAD 4'!P7</f>
        <v>BAJA</v>
      </c>
      <c r="H88" s="2" t="str">
        <f>'[1]UNIDAD 4'!J7</f>
        <v>Aspectos analíticos de las sustancias</v>
      </c>
      <c r="I88" s="2" t="str">
        <f>'[1]UNIDAD 4'!T7</f>
        <v>Presenta ejemplos y contraejemplos de hipótesis con base en el conocimiento cotidiano, teorías y modelos científicos y pide a los estudiantes que los clasifiquen, antes de avanzar a preguntas más complejas. Complementa pidiendo que formule una hipótesis propia y la contraste con un resultado observado. Verifica que el estudiante formule preguntas y analice resultados propios, y no solo responda preguntas cerradas.</v>
      </c>
      <c r="J88" s="2" t="str">
        <f>'[1]UNIDAD 4'!O7</f>
        <v>Reconocer la hipótesis inicial del experimento.</v>
      </c>
    </row>
    <row r="89" spans="1:10" ht="75" customHeight="1" x14ac:dyDescent="0.35">
      <c r="A89" s="3" t="s">
        <v>2</v>
      </c>
      <c r="B89" s="3" t="str">
        <f>TRIM('[1]UNIDAD 4'!E8)</f>
        <v>Exploro</v>
      </c>
      <c r="C89" s="3">
        <f>'[1]UNIDAD 4'!F8</f>
        <v>6</v>
      </c>
      <c r="D89" s="3">
        <f>'[1]UNIDAD 4'!H8</f>
        <v>6</v>
      </c>
      <c r="E89" s="2" t="str">
        <f>'[1]UNIDAD 4'!L8</f>
        <v>Modelando y diseñando experiencias para reconocer las variables que permiten obtener resultados y conclusiones.</v>
      </c>
      <c r="F89" s="3" t="str">
        <f>'[1]UNIDAD 4'!R8</f>
        <v>Reconocimiento</v>
      </c>
      <c r="G89" s="3" t="str">
        <f>'[1]UNIDAD 4'!P8</f>
        <v>BAJA</v>
      </c>
      <c r="H89" s="2" t="str">
        <f>'[1]UNIDAD 4'!J8</f>
        <v>Aspectos analíticos de las sustancias</v>
      </c>
      <c r="I89" s="2" t="str">
        <f>'[1]UNIDAD 4'!T8</f>
        <v>Presenta ejemplos y contraejemplos de relaciones causales y multicausales entre los datos recopilados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
      <c r="J89" s="2" t="str">
        <f>'[1]UNIDAD 4'!O8</f>
        <v>Identificar a partir de graficas, tablas o modelos cuál y cómo la variable afecta dicho experimento.</v>
      </c>
    </row>
    <row r="90" spans="1:10" ht="60" customHeight="1" x14ac:dyDescent="0.35">
      <c r="A90" s="3" t="s">
        <v>2</v>
      </c>
      <c r="B90" s="3" t="str">
        <f>TRIM('[1]UNIDAD 4'!E9)</f>
        <v>Exploro</v>
      </c>
      <c r="C90" s="3" t="str">
        <f>'[1]UNIDAD 4'!F9</f>
        <v>7</v>
      </c>
      <c r="D90" s="3">
        <f>'[1]UNIDAD 4'!H9</f>
        <v>6</v>
      </c>
      <c r="E90" s="2" t="str">
        <f>'[1]UNIDAD 4'!L9</f>
        <v>Comunicando el proceso de indagación en modelación científica.</v>
      </c>
      <c r="F90" s="3" t="str">
        <f>'[1]UNIDAD 4'!R9</f>
        <v>Reconocimiento</v>
      </c>
      <c r="G90" s="3" t="str">
        <f>'[1]UNIDAD 4'!P9</f>
        <v>MEDIA</v>
      </c>
      <c r="H90" s="2" t="str">
        <f>'[1]UNIDAD 4'!J9</f>
        <v>Aspectos fisicoquímicos de las mezclas</v>
      </c>
      <c r="I90" s="2" t="str">
        <f>'[1]UNIDAD 4'!T9</f>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90" s="2" t="str">
        <f>'[1]UNIDAD 4'!O9</f>
        <v>Identificar el mejor título de un experimento.</v>
      </c>
    </row>
    <row r="91" spans="1:10" ht="60" customHeight="1" x14ac:dyDescent="0.35">
      <c r="A91" s="3" t="s">
        <v>2</v>
      </c>
      <c r="B91" s="3" t="str">
        <f>TRIM('[1]UNIDAD 4'!E10)</f>
        <v>Exploro</v>
      </c>
      <c r="C91" s="3">
        <f>'[1]UNIDAD 4'!F10</f>
        <v>8</v>
      </c>
      <c r="D91" s="3">
        <f>'[1]UNIDAD 4'!H10</f>
        <v>6</v>
      </c>
      <c r="E91" s="2" t="str">
        <f>'[1]UNIDAD 4'!L10</f>
        <v>Integrando las transformaciones de la materia con los cambios de las sustancias en la vida cotidiana.</v>
      </c>
      <c r="F91" s="3" t="str">
        <f>'[1]UNIDAD 4'!R10</f>
        <v>Argumentación</v>
      </c>
      <c r="G91" s="3" t="str">
        <f>'[1]UNIDAD 4'!P10</f>
        <v>MEDIA</v>
      </c>
      <c r="H91" s="2" t="str">
        <f>'[1]UNIDAD 4'!J10</f>
        <v>Aspectos fisicoquímicos de las mezclas</v>
      </c>
      <c r="I91" s="2" t="str">
        <f>'[1]UNIDAD 4'!T10</f>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pueda juzgar la validez de una afirmación o de un modelo explicativo, y no solo describirlo.</v>
      </c>
      <c r="J91" s="2" t="str">
        <f>'[1]UNIDAD 4'!O10</f>
        <v>Explicar los factores que afectan la solubilidad.</v>
      </c>
    </row>
    <row r="92" spans="1:10" ht="75" customHeight="1" x14ac:dyDescent="0.35">
      <c r="A92" s="3" t="s">
        <v>2</v>
      </c>
      <c r="B92" s="3" t="str">
        <f>TRIM('[1]UNIDAD 4'!E11)</f>
        <v>Exploro</v>
      </c>
      <c r="C92" s="3">
        <f>'[1]UNIDAD 4'!F11</f>
        <v>9</v>
      </c>
      <c r="D92" s="3">
        <f>'[1]UNIDAD 4'!H11</f>
        <v>6</v>
      </c>
      <c r="E92" s="2" t="str">
        <f>'[1]UNIDAD 4'!L11</f>
        <v>Integrando las transformaciones de la materia con los cambios de las sustancias en la vida cotidiana.</v>
      </c>
      <c r="F92" s="3" t="str">
        <f>'[1]UNIDAD 4'!R11</f>
        <v>Reconocimiento</v>
      </c>
      <c r="G92" s="3" t="str">
        <f>'[1]UNIDAD 4'!P11</f>
        <v>MEDIA</v>
      </c>
      <c r="H92" s="2" t="str">
        <f>'[1]UNIDAD 4'!J11</f>
        <v>Aspectos fisicoquímicos de las mezclas</v>
      </c>
      <c r="I92" s="2" t="str">
        <f>'[1]UNIDAD 4'!T11</f>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92" s="2" t="str">
        <f>'[1]UNIDAD 4'!O11</f>
        <v>Reconocer los factores que afectan la solubilidad.</v>
      </c>
    </row>
    <row r="93" spans="1:10" ht="60" customHeight="1" x14ac:dyDescent="0.35">
      <c r="A93" s="3" t="s">
        <v>2</v>
      </c>
      <c r="B93" s="3" t="str">
        <f>TRIM('[1]UNIDAD 4'!E12)</f>
        <v>Exploro</v>
      </c>
      <c r="C93" s="3" t="str">
        <f>'[1]UNIDAD 4'!F12</f>
        <v>10</v>
      </c>
      <c r="D93" s="3">
        <f>'[1]UNIDAD 4'!H12</f>
        <v>6</v>
      </c>
      <c r="E93" s="2" t="str">
        <f>'[1]UNIDAD 4'!L12</f>
        <v>Integrando las transformaciones de la materia con los cambios de las sustancias en la vida cotidiana.</v>
      </c>
      <c r="F93" s="3" t="str">
        <f>'[1]UNIDAD 4'!R12</f>
        <v>Argumentación</v>
      </c>
      <c r="G93" s="3" t="str">
        <f>'[1]UNIDAD 4'!P12</f>
        <v>MEDIA</v>
      </c>
      <c r="H93" s="2" t="str">
        <f>'[1]UNIDAD 4'!J12</f>
        <v>Aspectos fisicoquímicos de las mezclas</v>
      </c>
      <c r="I93" s="2" t="str">
        <f>'[1]UNIDAD 4'!T12</f>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pueda juzgar la validez de una afirmación o de un modelo explicativo, y no solo describirlo.</v>
      </c>
      <c r="J93" s="2" t="str">
        <f>'[1]UNIDAD 4'!O12</f>
        <v>Explicar los factores que afectan la solubilidad.</v>
      </c>
    </row>
    <row r="94" spans="1:10" ht="75" customHeight="1" x14ac:dyDescent="0.35">
      <c r="A94" s="3" t="s">
        <v>2</v>
      </c>
      <c r="B94" s="3" t="str">
        <f>TRIM('[1]UNIDAD 4'!E13)</f>
        <v>Desarrollo</v>
      </c>
      <c r="C94" s="3">
        <f>'[1]UNIDAD 4'!F13</f>
        <v>1</v>
      </c>
      <c r="D94" s="3">
        <f>'[1]UNIDAD 4'!H13</f>
        <v>6</v>
      </c>
      <c r="E94" s="2" t="str">
        <f>'[1]UNIDAD 4'!L13</f>
        <v>Comunicando el proceso de indagación en modelación científica.</v>
      </c>
      <c r="F94" s="3" t="str">
        <f>'[1]UNIDAD 4'!R13</f>
        <v>Indagación</v>
      </c>
      <c r="G94" s="3" t="str">
        <f>'[1]UNIDAD 4'!P13</f>
        <v>MEDIA</v>
      </c>
      <c r="H94" s="2" t="str">
        <f>'[1]UNIDAD 4'!J13</f>
        <v>Aspectos fisicoquímicos de las sustancias</v>
      </c>
      <c r="I94" s="2" t="str">
        <f>'[1]UNIDAD 4'!T13</f>
        <v>Guía a los estudiantes en el diseño de un pequeño experimento o la formulación de una hipótesis relacionada con el proceso de indagación y los resultados, utilizando gráficas, tablas, ecuaciones aritméticas y algebraicas. Complementa pidiendo que registre el proceso en informes o gráficas claras, verificables por un tercero. Verifica que el estudiante formule preguntas y analice resultados propios, y no solo responda preguntas cerradas.</v>
      </c>
      <c r="J94" s="2" t="str">
        <f>'[1]UNIDAD 4'!O13</f>
        <v>Proponer elementos del método científico (título, objetivos, problema, resultados, análisis, procedimientos o conclusiones) de forma adecuada.</v>
      </c>
    </row>
    <row r="95" spans="1:10" ht="60" customHeight="1" x14ac:dyDescent="0.35">
      <c r="A95" s="3" t="s">
        <v>2</v>
      </c>
      <c r="B95" s="3" t="str">
        <f>TRIM('[1]UNIDAD 4'!E14)</f>
        <v>Desarrollo</v>
      </c>
      <c r="C95" s="3">
        <f>'[1]UNIDAD 4'!F14</f>
        <v>2</v>
      </c>
      <c r="D95" s="3">
        <f>'[1]UNIDAD 4'!H14</f>
        <v>6</v>
      </c>
      <c r="E95" s="2" t="str">
        <f>'[1]UNIDAD 4'!L14</f>
        <v>Integrando las transformaciones de la materia con los cambios de las sustancias en la vida cotidiana.</v>
      </c>
      <c r="F95" s="3" t="str">
        <f>'[1]UNIDAD 4'!R14</f>
        <v>Argumentación</v>
      </c>
      <c r="G95" s="3" t="str">
        <f>'[1]UNIDAD 4'!P14</f>
        <v>MEDIA</v>
      </c>
      <c r="H95" s="2" t="str">
        <f>'[1]UNIDAD 4'!J14</f>
        <v>Aspectos fisicoquímicos de las mezclas</v>
      </c>
      <c r="I95" s="2" t="str">
        <f>'[1]UNIDAD 4'!T14</f>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pueda juzgar la validez de una afirmación o de un modelo explicativo, y no solo describirlo.</v>
      </c>
      <c r="J95" s="2" t="str">
        <f>'[1]UNIDAD 4'!O14</f>
        <v>Explicar los factores que afectan la solubilidad.</v>
      </c>
    </row>
    <row r="96" spans="1:10" ht="60" customHeight="1" x14ac:dyDescent="0.35">
      <c r="A96" s="3" t="s">
        <v>2</v>
      </c>
      <c r="B96" s="3" t="str">
        <f>TRIM('[1]UNIDAD 4'!E15)</f>
        <v>Desarrollo</v>
      </c>
      <c r="C96" s="3">
        <f>'[1]UNIDAD 4'!F15</f>
        <v>3</v>
      </c>
      <c r="D96" s="3">
        <f>'[1]UNIDAD 4'!H15</f>
        <v>6</v>
      </c>
      <c r="E96" s="2" t="str">
        <f>'[1]UNIDAD 4'!L15</f>
        <v>Evaluando descripciones, evidencias y explicaciones de la comunicación en el trabajo científico.</v>
      </c>
      <c r="F96" s="3" t="str">
        <f>'[1]UNIDAD 4'!R15</f>
        <v>Aplicación</v>
      </c>
      <c r="G96" s="3" t="str">
        <f>'[1]UNIDAD 4'!P15</f>
        <v>ALTA</v>
      </c>
      <c r="H96" s="2" t="str">
        <f>'[1]UNIDAD 4'!J15</f>
        <v>Aspectos analíticos de las sustancias</v>
      </c>
      <c r="I96" s="2" t="str">
        <f>'[1]UNIDAD 4'!T15</f>
        <v>Realiza ejercicios prácticos guiados paso a paso sobre diferencias entre modelos, teorías, leyes e hipótesis, retroalimentando el procedimiento y no solo el resultado. Complementa pidiendo que distinga, en un mismo texto, qué es descripción, qué es evidencia y qué es explicación. Verifica que el estudiante formule preguntas y analice resultados propios, y no solo responda preguntas cerradas.</v>
      </c>
      <c r="J96" s="2" t="str">
        <f>'[1]UNIDAD 4'!O15</f>
        <v>Determinar algunas ecuaciones, modelos matemáticos o algoritmos que permiten encontrar regularidades o sacar conclusiones.</v>
      </c>
    </row>
    <row r="97" spans="1:10" ht="75" customHeight="1" x14ac:dyDescent="0.35">
      <c r="A97" s="3" t="s">
        <v>2</v>
      </c>
      <c r="B97" s="3" t="str">
        <f>TRIM('[1]UNIDAD 4'!E16)</f>
        <v>Desarrollo</v>
      </c>
      <c r="C97" s="3">
        <f>'[1]UNIDAD 4'!F16</f>
        <v>4</v>
      </c>
      <c r="D97" s="3">
        <f>'[1]UNIDAD 4'!H16</f>
        <v>6</v>
      </c>
      <c r="E97" s="2" t="str">
        <f>'[1]UNIDAD 4'!L16</f>
        <v>Integrando las transformaciones de la materia con los cambios de las sustancias en la vida cotidiana.</v>
      </c>
      <c r="F97" s="3" t="str">
        <f>'[1]UNIDAD 4'!R16</f>
        <v>Reconocimiento</v>
      </c>
      <c r="G97" s="3" t="str">
        <f>'[1]UNIDAD 4'!P16</f>
        <v>MEDIA</v>
      </c>
      <c r="H97" s="2" t="str">
        <f>'[1]UNIDAD 4'!J16</f>
        <v>Aspectos analíticos de las mezclas</v>
      </c>
      <c r="I97" s="2" t="str">
        <f>'[1]UNIDAD 4'!T16</f>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97" s="2" t="str">
        <f>'[1]UNIDAD 4'!O16</f>
        <v>Identificar en gráficas o reacciones químicas el equilibrio químico.</v>
      </c>
    </row>
    <row r="98" spans="1:10" ht="75" customHeight="1" x14ac:dyDescent="0.35">
      <c r="A98" s="3" t="s">
        <v>2</v>
      </c>
      <c r="B98" s="3" t="str">
        <f>TRIM('[1]UNIDAD 4'!E17)</f>
        <v>Desarrollo</v>
      </c>
      <c r="C98" s="3">
        <f>'[1]UNIDAD 4'!F17</f>
        <v>5</v>
      </c>
      <c r="D98" s="3">
        <f>'[1]UNIDAD 4'!H17</f>
        <v>6</v>
      </c>
      <c r="E98" s="2" t="str">
        <f>'[1]UNIDAD 4'!L17</f>
        <v>Integrando las transformaciones de la materia con los cambios de las sustancias en la vida cotidiana.</v>
      </c>
      <c r="F98" s="3" t="str">
        <f>'[1]UNIDAD 4'!R17</f>
        <v>Reconocimiento</v>
      </c>
      <c r="G98" s="3" t="str">
        <f>'[1]UNIDAD 4'!P17</f>
        <v>ALTA</v>
      </c>
      <c r="H98" s="2" t="str">
        <f>'[1]UNIDAD 4'!J17</f>
        <v>Aspectos analíticos de las sustancias</v>
      </c>
      <c r="I98" s="2" t="str">
        <f>'[1]UNIDAD 4'!T17</f>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98" s="2" t="str">
        <f>'[1]UNIDAD 4'!O17</f>
        <v>Seleccionar cuál es la gráfica de equilibrio que describe un determinado proceso.</v>
      </c>
    </row>
    <row r="99" spans="1:10" ht="60" customHeight="1" x14ac:dyDescent="0.35">
      <c r="A99" s="3" t="s">
        <v>2</v>
      </c>
      <c r="B99" s="3" t="str">
        <f>TRIM('[1]UNIDAD 4'!E18)</f>
        <v>Desarrollo</v>
      </c>
      <c r="C99" s="3">
        <f>'[1]UNIDAD 4'!F18</f>
        <v>6</v>
      </c>
      <c r="D99" s="3">
        <f>'[1]UNIDAD 4'!H18</f>
        <v>6</v>
      </c>
      <c r="E99" s="2" t="str">
        <f>'[1]UNIDAD 4'!L18</f>
        <v>Integrando las transformaciones de la materia con los cambios de las sustancias en la vida cotidiana.</v>
      </c>
      <c r="F99" s="3" t="str">
        <f>'[1]UNIDAD 4'!R18</f>
        <v>Argumentación</v>
      </c>
      <c r="G99" s="3" t="str">
        <f>'[1]UNIDAD 4'!P18</f>
        <v>MEDIA</v>
      </c>
      <c r="H99" s="2" t="str">
        <f>'[1]UNIDAD 4'!J18</f>
        <v>Aspectos fisicoquímicos de las mezclas</v>
      </c>
      <c r="I99" s="2" t="str">
        <f>'[1]UNIDAD 4'!T18</f>
        <v>Propón situaciones en las que los estudiantes deban argumentar y sustentar con evidencia sus respuestas acerca de cambios químicos en condiciones de equilibrio. Complementa con ejercicios de balanceo y estequiometría aplicados a ejemplos observables de la vida cotidiana. Verifica que el estudiante no se limite a repetir el concepto, sino que lo use para resolver un problema distinto al trabajado en clase.</v>
      </c>
      <c r="J99" s="2" t="str">
        <f>'[1]UNIDAD 4'!O18</f>
        <v>Predecir la dirección de la reacción cuando se altera la temperatura, concentración o la presión.</v>
      </c>
    </row>
    <row r="100" spans="1:10" ht="75" customHeight="1" x14ac:dyDescent="0.35">
      <c r="A100" s="3" t="s">
        <v>2</v>
      </c>
      <c r="B100" s="3" t="str">
        <f>TRIM('[1]UNIDAD 4'!E19)</f>
        <v>Desarrollo</v>
      </c>
      <c r="C100" s="3">
        <f>'[1]UNIDAD 4'!F19</f>
        <v>7</v>
      </c>
      <c r="D100" s="3">
        <f>'[1]UNIDAD 4'!H19</f>
        <v>6</v>
      </c>
      <c r="E100" s="2" t="str">
        <f>'[1]UNIDAD 4'!L19</f>
        <v>Comunicando el proceso de indagación en modelación científica.</v>
      </c>
      <c r="F100" s="3" t="str">
        <f>'[1]UNIDAD 4'!R19</f>
        <v>Reconocimiento</v>
      </c>
      <c r="G100" s="3" t="str">
        <f>'[1]UNIDAD 4'!P19</f>
        <v>MEDIA</v>
      </c>
      <c r="H100" s="2" t="str">
        <f>'[1]UNIDAD 4'!J19</f>
        <v>Aspectos fisicoquímicos de las sustancias</v>
      </c>
      <c r="I100" s="2" t="str">
        <f>'[1]UNIDAD 4'!T19</f>
        <v>Presenta ejemplos y contraejemplos del proceso de indagación y los resultados, utilizando gráficas, tablas, ecuaciones aritméticas y algebraicas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100" s="2" t="str">
        <f>'[1]UNIDAD 4'!O19</f>
        <v>Identificar las partes de un informe de laboratorio.</v>
      </c>
    </row>
    <row r="101" spans="1:10" ht="60" customHeight="1" x14ac:dyDescent="0.35">
      <c r="A101" s="3" t="s">
        <v>2</v>
      </c>
      <c r="B101" s="3" t="str">
        <f>TRIM('[1]UNIDAD 4'!E20)</f>
        <v>Desarrollo</v>
      </c>
      <c r="C101" s="3" t="str">
        <f>'[1]UNIDAD 4'!F20</f>
        <v>8</v>
      </c>
      <c r="D101" s="3">
        <f>'[1]UNIDAD 4'!H20</f>
        <v>6</v>
      </c>
      <c r="E101" s="2" t="str">
        <f>'[1]UNIDAD 4'!L20</f>
        <v>Conectando teorías, leyes, afirmaciones y sus implicaciones en los sistemas fisicoquímicos.</v>
      </c>
      <c r="F101" s="3" t="str">
        <f>'[1]UNIDAD 4'!R20</f>
        <v>Argumentación</v>
      </c>
      <c r="G101" s="3" t="str">
        <f>'[1]UNIDAD 4'!P20</f>
        <v>BAJA</v>
      </c>
      <c r="H101" s="2" t="str">
        <f>'[1]UNIDAD 4'!J20</f>
        <v>Aspectos fisicoquímicos de las sustancias</v>
      </c>
      <c r="I101" s="2" t="str">
        <f>'[1]UNIDAD 4'!T20</f>
        <v>Propón situaciones en las que los estudiantes deban argumentar y sustentar con evidencia sus respuestas acerca de los modelos que sustentan la definición ácido-base. Complementa pidiendo que justifique cada afirmación citando la ley o el modelo teórico que la sustenta. Verifica que el estudiante pueda juzgar la validez de una afirmación o de un modelo explicativo, y no solo describirlo.</v>
      </c>
      <c r="J101" s="2" t="str">
        <f>'[1]UNIDAD 4'!O20</f>
        <v>Razonar en situaciones como gráficas y tablas la acidez o basicidad de una sustancia, de acuerdo con diferentes escalas o referencias.</v>
      </c>
    </row>
    <row r="102" spans="1:10" ht="75" customHeight="1" x14ac:dyDescent="0.35">
      <c r="A102" s="3" t="s">
        <v>2</v>
      </c>
      <c r="B102" s="3" t="str">
        <f>TRIM('[1]UNIDAD 4'!E21)</f>
        <v>Desarrollo</v>
      </c>
      <c r="C102" s="3">
        <f>'[1]UNIDAD 4'!F21</f>
        <v>9</v>
      </c>
      <c r="D102" s="3">
        <f>'[1]UNIDAD 4'!H21</f>
        <v>6</v>
      </c>
      <c r="E102" s="2" t="str">
        <f>'[1]UNIDAD 4'!L21</f>
        <v>Integrando las transformaciones de la materia con los cambios de las sustancias en la vida cotidiana.</v>
      </c>
      <c r="F102" s="3" t="str">
        <f>'[1]UNIDAD 4'!R21</f>
        <v>Reconocimiento</v>
      </c>
      <c r="G102" s="3" t="str">
        <f>'[1]UNIDAD 4'!P21</f>
        <v>ALTA</v>
      </c>
      <c r="H102" s="2" t="str">
        <f>'[1]UNIDAD 4'!J21</f>
        <v>Aspectos fisicoquímicos de las sustancias</v>
      </c>
      <c r="I102" s="2" t="str">
        <f>'[1]UNIDAD 4'!T21</f>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102" s="2" t="str">
        <f>'[1]UNIDAD 4'!O21</f>
        <v>Reconocer que los cambios químicos se representan mediante ecuaciones.</v>
      </c>
    </row>
    <row r="103" spans="1:10" ht="60" customHeight="1" x14ac:dyDescent="0.35">
      <c r="A103" s="3" t="s">
        <v>2</v>
      </c>
      <c r="B103" s="3" t="str">
        <f>TRIM('[1]UNIDAD 4'!E22)</f>
        <v>Desarrollo</v>
      </c>
      <c r="C103" s="3">
        <f>'[1]UNIDAD 4'!F22</f>
        <v>10</v>
      </c>
      <c r="D103" s="3">
        <f>'[1]UNIDAD 4'!H22</f>
        <v>6</v>
      </c>
      <c r="E103" s="2" t="str">
        <f>'[1]UNIDAD 4'!L22</f>
        <v>Conectando teorías, leyes, afirmaciones y sus implicaciones en los sistemas fisicoquímicos.</v>
      </c>
      <c r="F103" s="3" t="str">
        <f>'[1]UNIDAD 4'!R22</f>
        <v>Argumentación</v>
      </c>
      <c r="G103" s="3" t="str">
        <f>'[1]UNIDAD 4'!P22</f>
        <v>BAJA</v>
      </c>
      <c r="H103" s="2" t="str">
        <f>'[1]UNIDAD 4'!J22</f>
        <v>Aspectos analíticos de las mezclas</v>
      </c>
      <c r="I103" s="2" t="str">
        <f>'[1]UNIDAD 4'!T22</f>
        <v>Propón situaciones en las que los estudiantes deban argumentar y sustentar con evidencia sus respuestas acerca de los modelos que sustentan la definición ácido-base. Complementa pidiendo que justifique cada afirmación citando la ley o el modelo teórico que la sustenta. Verifica que el estudiante pueda juzgar la validez de una afirmación o de un modelo explicativo, y no solo describirlo.</v>
      </c>
      <c r="J103" s="2" t="str">
        <f>'[1]UNIDAD 4'!O22</f>
        <v>Razonar en situaciones como gráficas y tablas la acidez o basicidad de una sustancia, de acuerdo con diferentes escalas o referencias.</v>
      </c>
    </row>
    <row r="104" spans="1:10" ht="75" customHeight="1" x14ac:dyDescent="0.35">
      <c r="A104" s="3" t="s">
        <v>2</v>
      </c>
      <c r="B104" s="3" t="str">
        <f>TRIM('[1]UNIDAD 4'!E23)</f>
        <v>Desarrollo</v>
      </c>
      <c r="C104" s="3">
        <f>'[1]UNIDAD 4'!F23</f>
        <v>11</v>
      </c>
      <c r="D104" s="3">
        <f>'[1]UNIDAD 4'!H23</f>
        <v>6</v>
      </c>
      <c r="E104" s="2" t="str">
        <f>'[1]UNIDAD 4'!L23</f>
        <v>Modelando y diseñando experiencias para reconocer las variables que permiten obtener resultados y conclusiones.</v>
      </c>
      <c r="F104" s="3" t="str">
        <f>'[1]UNIDAD 4'!R23</f>
        <v>Reconocimiento</v>
      </c>
      <c r="G104" s="3" t="str">
        <f>'[1]UNIDAD 4'!P23</f>
        <v>MEDIA</v>
      </c>
      <c r="H104" s="2" t="str">
        <f>'[1]UNIDAD 4'!J23</f>
        <v>Aspectos analíticos de las mezclas</v>
      </c>
      <c r="I104" s="2" t="str">
        <f>'[1]UNIDAD 4'!T23</f>
        <v>Presenta ejemplos y contraejemplos de y realizo experimentos y verifico el efecto de modificar diversas variables para dar respuesta a preguntas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
      <c r="J104" s="2" t="str">
        <f>'[1]UNIDAD 4'!O23</f>
        <v>Identificar la función de algunos instrumentos durante una investigación o experimento.</v>
      </c>
    </row>
    <row r="105" spans="1:10" ht="60" customHeight="1" x14ac:dyDescent="0.35">
      <c r="A105" s="3" t="s">
        <v>2</v>
      </c>
      <c r="B105" s="3" t="str">
        <f>TRIM('[1]UNIDAD 4'!E24)</f>
        <v>Desarrollo</v>
      </c>
      <c r="C105" s="3">
        <f>'[1]UNIDAD 4'!F24</f>
        <v>12</v>
      </c>
      <c r="D105" s="3">
        <f>'[1]UNIDAD 4'!H24</f>
        <v>6</v>
      </c>
      <c r="E105" s="2" t="str">
        <f>'[1]UNIDAD 4'!L24</f>
        <v>Conectando teorías, leyes, afirmaciones y sus implicaciones en los sistemas fisicoquímicos.</v>
      </c>
      <c r="F105" s="3" t="str">
        <f>'[1]UNIDAD 4'!R24</f>
        <v>Argumentación</v>
      </c>
      <c r="G105" s="3" t="str">
        <f>'[1]UNIDAD 4'!P24</f>
        <v>BAJA</v>
      </c>
      <c r="H105" s="2" t="str">
        <f>'[1]UNIDAD 4'!J24</f>
        <v>Aspectos fisicoquímicos de las mezclas</v>
      </c>
      <c r="I105" s="2" t="str">
        <f>'[1]UNIDAD 4'!T24</f>
        <v>Propón situaciones en las que los estudiantes deban argumentar y sustentar con evidencia sus respuestas acerca de los modelos que sustentan la definición ácido-base. Complementa pidiendo que justifique cada afirmación citando la ley o el modelo teórico que la sustenta. Verifica que el estudiante pueda juzgar la validez de una afirmación o de un modelo explicativo, y no solo describirlo.</v>
      </c>
      <c r="J105" s="2" t="str">
        <f>'[1]UNIDAD 4'!O24</f>
        <v>Explicar en gráficas de titulación características de la fuerza de un ácido o una base, el papel de los indicadores y factores que afectan el equilibrio ácido-base.</v>
      </c>
    </row>
    <row r="106" spans="1:10" ht="60" customHeight="1" x14ac:dyDescent="0.35">
      <c r="A106" s="3" t="s">
        <v>2</v>
      </c>
      <c r="B106" s="3" t="str">
        <f>TRIM('[1]UNIDAD 4'!E25)</f>
        <v>Desarrollo</v>
      </c>
      <c r="C106" s="3">
        <f>'[1]UNIDAD 4'!F25</f>
        <v>13</v>
      </c>
      <c r="D106" s="3">
        <f>'[1]UNIDAD 4'!H25</f>
        <v>6</v>
      </c>
      <c r="E106" s="2" t="str">
        <f>'[1]UNIDAD 4'!L25</f>
        <v>Generando explicaciones a preguntas e hipótesis acerca de la modelación científica.</v>
      </c>
      <c r="F106" s="3" t="str">
        <f>'[1]UNIDAD 4'!R25</f>
        <v>Argumentación</v>
      </c>
      <c r="G106" s="3" t="str">
        <f>'[1]UNIDAD 4'!P25</f>
        <v>ALTA</v>
      </c>
      <c r="H106" s="2" t="str">
        <f>'[1]UNIDAD 4'!J25</f>
        <v>Aspectos fisicoquímicos de las sustancias</v>
      </c>
      <c r="I106" s="2" t="str">
        <f>'[1]UNIDAD 4'!T25</f>
        <v>Propón situaciones en las que los estudiantes deban argumentar y sustentar con evidencia sus respuestas acerca de mis respuestas con diversos argumentos. Complementa pidiendo que formule una hipótesis propia y la contraste con un resultado observado. Verifica que el estudiante formule preguntas y analice resultados propios, y no solo responda preguntas cerradas.</v>
      </c>
      <c r="J106" s="2" t="str">
        <f>'[1]UNIDAD 4'!O25</f>
        <v>Explicar las relaciones entre las variables que determinan el comportamiento de un fenómeno.</v>
      </c>
    </row>
    <row r="107" spans="1:10" ht="75" customHeight="1" x14ac:dyDescent="0.35">
      <c r="A107" s="3" t="s">
        <v>2</v>
      </c>
      <c r="B107" s="3" t="str">
        <f>TRIM('[1]UNIDAD 4'!E26)</f>
        <v>Desarrollo</v>
      </c>
      <c r="C107" s="3">
        <f>'[1]UNIDAD 4'!F26</f>
        <v>14</v>
      </c>
      <c r="D107" s="3">
        <f>'[1]UNIDAD 4'!H26</f>
        <v>6</v>
      </c>
      <c r="E107" s="2" t="str">
        <f>'[1]UNIDAD 4'!L26</f>
        <v>Interactuando con las propiedades y clasificación de la materia en sistemas físicos, químicos y biológicos.</v>
      </c>
      <c r="F107" s="3" t="str">
        <f>'[1]UNIDAD 4'!R26</f>
        <v>Reconocimiento</v>
      </c>
      <c r="G107" s="3" t="str">
        <f>'[1]UNIDAD 4'!P26</f>
        <v>ALTA</v>
      </c>
      <c r="H107" s="2" t="str">
        <f>'[1]UNIDAD 4'!J26</f>
        <v>Aspectos fisicoquímicos de las sustancias</v>
      </c>
      <c r="I107" s="2" t="str">
        <f>'[1]UNIDAD 4'!T26</f>
        <v>Presenta ejemplos y contraejemplos de relaciones cuantitativas entre los componentes de una solución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
      <c r="J107" s="2" t="str">
        <f>'[1]UNIDAD 4'!O26</f>
        <v>Señalar los factores que influyen en la solubilidad y su velocidad, como la temperatura, la agitación, la naturaleza del soluto y del disolvente, el tamaño, entre otros.</v>
      </c>
    </row>
    <row r="108" spans="1:10" ht="75" customHeight="1" x14ac:dyDescent="0.35">
      <c r="A108" s="3" t="s">
        <v>2</v>
      </c>
      <c r="B108" s="3" t="str">
        <f>TRIM('[1]UNIDAD 4'!E27)</f>
        <v>Desarrollo</v>
      </c>
      <c r="C108" s="3">
        <f>'[1]UNIDAD 4'!F27</f>
        <v>15</v>
      </c>
      <c r="D108" s="3">
        <f>'[1]UNIDAD 4'!H27</f>
        <v>6</v>
      </c>
      <c r="E108" s="2" t="str">
        <f>'[1]UNIDAD 4'!L27</f>
        <v>Integrando las transformaciones de la materia con los cambios de las sustancias en la vida cotidiana.</v>
      </c>
      <c r="F108" s="3" t="str">
        <f>'[1]UNIDAD 4'!R27</f>
        <v>Reconocimiento</v>
      </c>
      <c r="G108" s="3" t="str">
        <f>'[1]UNIDAD 4'!P27</f>
        <v>BAJA</v>
      </c>
      <c r="H108" s="2" t="str">
        <f>'[1]UNIDAD 4'!J27</f>
        <v>Aspectos analíticos de las mezclas</v>
      </c>
      <c r="I108" s="2" t="str">
        <f>'[1]UNIDAD 4'!T27</f>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108" s="2" t="str">
        <f>'[1]UNIDAD 4'!O27</f>
        <v>Identificar que sustancia se solubiliza a determinadas condiciones.</v>
      </c>
    </row>
    <row r="109" spans="1:10" ht="60" customHeight="1" x14ac:dyDescent="0.35">
      <c r="A109" s="3" t="s">
        <v>2</v>
      </c>
      <c r="B109" s="3" t="str">
        <f>TRIM('[1]UNIDAD 4'!E28)</f>
        <v>Aplico</v>
      </c>
      <c r="C109" s="3" t="str">
        <f>'[1]UNIDAD 4'!F28</f>
        <v>1</v>
      </c>
      <c r="D109" s="3">
        <f>'[1]UNIDAD 4'!H28</f>
        <v>6</v>
      </c>
      <c r="E109" s="2" t="str">
        <f>'[1]UNIDAD 4'!L28</f>
        <v>Integrando las transformaciones de la materia con los cambios de las sustancias en la vida cotidiana.</v>
      </c>
      <c r="F109" s="3" t="str">
        <f>'[1]UNIDAD 4'!R28</f>
        <v>Aplicación</v>
      </c>
      <c r="G109" s="3" t="str">
        <f>'[1]UNIDAD 4'!P28</f>
        <v>ALTA</v>
      </c>
      <c r="H109" s="2" t="str">
        <f>'[1]UNIDAD 4'!J28</f>
        <v>Aspectos analíticos de las sustancias</v>
      </c>
      <c r="I109" s="2" t="str">
        <f>'[1]UNIDAD 4'!T28</f>
        <v>Realiza ejercicios prácticos guiados paso a paso sobre cambios químicos en condiciones de equilibrio, retroalimentando el procedimiento y no solo el resultado. Complementa con ejercicios de balanceo y estequiometría aplicados a ejemplos observables de la vida cotidiana. Verifica que el estudiante pueda juzgar la validez de una afirmación o de un modelo explicativo, y no solo describirlo.</v>
      </c>
      <c r="J109" s="2" t="str">
        <f>'[1]UNIDAD 4'!O28</f>
        <v>Determinar cual factor influye en mayor o menor proporción en la solubilidad en determinados procesos, gráficas o contextos.</v>
      </c>
    </row>
    <row r="110" spans="1:10" ht="75" customHeight="1" x14ac:dyDescent="0.35">
      <c r="A110" s="3" t="s">
        <v>2</v>
      </c>
      <c r="B110" s="3" t="str">
        <f>TRIM('[1]UNIDAD 4'!E29)</f>
        <v>Aplico</v>
      </c>
      <c r="C110" s="3" t="str">
        <f>'[1]UNIDAD 4'!F29</f>
        <v>2</v>
      </c>
      <c r="D110" s="3">
        <f>'[1]UNIDAD 4'!H29</f>
        <v>6</v>
      </c>
      <c r="E110" s="2" t="str">
        <f>'[1]UNIDAD 4'!L29</f>
        <v>Integrando las transformaciones de la materia con los cambios de las sustancias en la vida cotidiana.</v>
      </c>
      <c r="F110" s="3" t="str">
        <f>'[1]UNIDAD 4'!R29</f>
        <v>Reconocimiento</v>
      </c>
      <c r="G110" s="3" t="str">
        <f>'[1]UNIDAD 4'!P29</f>
        <v>BAJA</v>
      </c>
      <c r="H110" s="2" t="str">
        <f>'[1]UNIDAD 4'!J29</f>
        <v>Aspectos analíticos de las sustancias</v>
      </c>
      <c r="I110" s="2" t="str">
        <f>'[1]UNIDAD 4'!T29</f>
        <v>Presenta ejemplos y contraejemplos de cambios químicos en condiciones de equilibrio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110" s="2" t="str">
        <f>'[1]UNIDAD 4'!O29</f>
        <v>Reconocer las características y los componentes de una disolución.</v>
      </c>
    </row>
    <row r="111" spans="1:10" ht="75" customHeight="1" x14ac:dyDescent="0.35">
      <c r="A111" s="3" t="s">
        <v>2</v>
      </c>
      <c r="B111" s="3" t="str">
        <f>TRIM('[1]UNIDAD 4'!E30)</f>
        <v>Aplico</v>
      </c>
      <c r="C111" s="3" t="str">
        <f>'[1]UNIDAD 4'!F30</f>
        <v>3</v>
      </c>
      <c r="D111" s="3">
        <f>'[1]UNIDAD 4'!H30</f>
        <v>6</v>
      </c>
      <c r="E111" s="2" t="str">
        <f>'[1]UNIDAD 4'!L30</f>
        <v>Modelando y diseñando experiencias para reconocer las variables que permiten obtener resultados y conclusiones.</v>
      </c>
      <c r="F111" s="3" t="str">
        <f>'[1]UNIDAD 4'!R30</f>
        <v>Reconocimiento</v>
      </c>
      <c r="G111" s="3" t="str">
        <f>'[1]UNIDAD 4'!P30</f>
        <v>MEDIA</v>
      </c>
      <c r="H111" s="2" t="str">
        <f>'[1]UNIDAD 4'!J30</f>
        <v>Aspectos fisicoquímicos de las mezclas</v>
      </c>
      <c r="I111" s="2" t="str">
        <f>'[1]UNIDAD 4'!T30</f>
        <v>Presenta ejemplos y contraejemplos de relaciones causales y multicausales entre los datos recopilados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
      <c r="J111" s="2" t="str">
        <f>'[1]UNIDAD 4'!O30</f>
        <v>Identificar a partir de graficas, tablas o modelos cuál y cómo la variable afecta dicho experimento.</v>
      </c>
    </row>
    <row r="112" spans="1:10" ht="75" customHeight="1" x14ac:dyDescent="0.35">
      <c r="A112" s="3" t="s">
        <v>1</v>
      </c>
      <c r="B112" s="3" t="str">
        <f>TRIM('[1]UNIDAD 5'!E3)</f>
        <v>Exploro</v>
      </c>
      <c r="C112" s="3" t="str">
        <f>'[1]UNIDAD 5'!F3</f>
        <v>1</v>
      </c>
      <c r="D112" s="3">
        <f>'[1]UNIDAD 5'!H3</f>
        <v>6</v>
      </c>
      <c r="E112" s="2" t="str">
        <f>'[1]UNIDAD 5'!L3</f>
        <v>Considerando la importancia de los hábitos saludables en el cuidado del cuerpo.</v>
      </c>
      <c r="F112" s="3" t="str">
        <f>'[1]UNIDAD 5'!R3</f>
        <v>Reconocimiento</v>
      </c>
      <c r="G112" s="3" t="str">
        <f>'[1]UNIDAD 5'!P3</f>
        <v>BAJA</v>
      </c>
      <c r="H112" s="2" t="str">
        <f>'[1]UNIDAD 5'!J3</f>
        <v>Social</v>
      </c>
      <c r="I112" s="2" t="str">
        <f>'[1]UNIDAD 5'!T3</f>
        <v>Presenta ejemplos y contraejemplos del funcionamiento de algún antibiótico y reconozco la importancia de su uso correcto y pide a los estudiantes que los clasifiquen, antes de avanzar a preguntas más complejas. Complementa con casos cotidianos de autocuidado que el estudiante deba justificar con criterios científicos. Verifica que el estudiante no se limite a repetir el concepto, sino que lo use para resolver un problema distinto al trabajado en clase.</v>
      </c>
      <c r="J112" s="2" t="str">
        <f>'[1]UNIDAD 5'!O3</f>
        <v>Identificar la importancia de emplear los antibióticos según las recomendaciones médicas.</v>
      </c>
    </row>
    <row r="113" spans="1:10" ht="75" customHeight="1" x14ac:dyDescent="0.35">
      <c r="A113" s="3" t="s">
        <v>1</v>
      </c>
      <c r="B113" s="3" t="str">
        <f>TRIM('[1]UNIDAD 5'!E4)</f>
        <v>Exploro</v>
      </c>
      <c r="C113" s="3">
        <f>'[1]UNIDAD 5'!F4</f>
        <v>2</v>
      </c>
      <c r="D113" s="3">
        <f>'[1]UNIDAD 5'!H4</f>
        <v>6</v>
      </c>
      <c r="E113" s="2" t="str">
        <f>'[1]UNIDAD 5'!L4</f>
        <v>Pensando en los procesos de conservación y mejoramiento del medioambiente.</v>
      </c>
      <c r="F113" s="3" t="str">
        <f>'[1]UNIDAD 5'!R4</f>
        <v>Reconocimiento</v>
      </c>
      <c r="G113" s="3" t="str">
        <f>'[1]UNIDAD 5'!P4</f>
        <v>MEDIA</v>
      </c>
      <c r="H113" s="2" t="str">
        <f>'[1]UNIDAD 5'!J4</f>
        <v>Ciencia</v>
      </c>
      <c r="I113" s="2" t="str">
        <f>'[1]UNIDAD 5'!T4</f>
        <v>Presenta ejemplos y contraejemplos del potencial de los recursos naturales en la obtención de energía para diferentes usos y pide a los estudiantes que los clasifiquen, antes de avanzar a preguntas más complejas. Complementa con un problema ambiental local que el estudiante deba resolver con criterios científicos. Verifica que el estudiante no se limite a repetir el concepto, sino que lo use para resolver un problema distinto al trabajado en clase.</v>
      </c>
      <c r="J113" s="2" t="str">
        <f>'[1]UNIDAD 5'!O4</f>
        <v>Reconocer cuáles son las nuevas tecnologías limpias.</v>
      </c>
    </row>
    <row r="114" spans="1:10" ht="75" customHeight="1" x14ac:dyDescent="0.35">
      <c r="A114" s="3" t="s">
        <v>1</v>
      </c>
      <c r="B114" s="3" t="str">
        <f>TRIM('[1]UNIDAD 5'!E5)</f>
        <v>Exploro</v>
      </c>
      <c r="C114" s="3">
        <f>'[1]UNIDAD 5'!F5</f>
        <v>3</v>
      </c>
      <c r="D114" s="3">
        <f>'[1]UNIDAD 5'!H5</f>
        <v>6</v>
      </c>
      <c r="E114" s="2" t="str">
        <f>'[1]UNIDAD 5'!L5</f>
        <v>Pensando en los procesos de conservación y mejoramiento del medioambiente.</v>
      </c>
      <c r="F114" s="3" t="str">
        <f>'[1]UNIDAD 5'!R5</f>
        <v>Reconocimiento</v>
      </c>
      <c r="G114" s="3" t="str">
        <f>'[1]UNIDAD 5'!P5</f>
        <v>BAJA</v>
      </c>
      <c r="H114" s="2" t="str">
        <f>'[1]UNIDAD 5'!J5</f>
        <v>Ciencia</v>
      </c>
      <c r="I114" s="2" t="str">
        <f>'[1]UNIDAD 5'!T5</f>
        <v>Presenta ejemplos y contraejemplos del potencial de los recursos naturales en la obtención de energía para diferentes usos y pide a los estudiantes que los clasifiquen, antes de avanzar a preguntas más complejas. Complementa con un problema ambiental local que el estudiante deba resolver con criterios científicos. Verifica que el estudiante no se limite a repetir el concepto, sino que lo use para resolver un problema distinto al trabajado en clase.</v>
      </c>
      <c r="J114" s="2" t="str">
        <f>'[1]UNIDAD 5'!O5</f>
        <v>Identificar el desarrollo de nuevas tecnologías limpias.</v>
      </c>
    </row>
    <row r="115" spans="1:10" ht="75" customHeight="1" x14ac:dyDescent="0.35">
      <c r="A115" s="3" t="s">
        <v>1</v>
      </c>
      <c r="B115" s="3" t="str">
        <f>TRIM('[1]UNIDAD 5'!E6)</f>
        <v>Exploro</v>
      </c>
      <c r="C115" s="3" t="str">
        <f>'[1]UNIDAD 5'!F6</f>
        <v>4</v>
      </c>
      <c r="D115" s="3">
        <f>'[1]UNIDAD 5'!H6</f>
        <v>6</v>
      </c>
      <c r="E115" s="2" t="str">
        <f>'[1]UNIDAD 5'!L6</f>
        <v>Pensando en los procesos de conservación y mejoramiento del medioambiente.</v>
      </c>
      <c r="F115" s="3" t="str">
        <f>'[1]UNIDAD 5'!R6</f>
        <v>Argumentación</v>
      </c>
      <c r="G115" s="3" t="str">
        <f>'[1]UNIDAD 5'!P6</f>
        <v>ALTA</v>
      </c>
      <c r="H115" s="2" t="str">
        <f>'[1]UNIDAD 5'!J6</f>
        <v>Ambiental</v>
      </c>
      <c r="I115" s="2" t="str">
        <f>'[1]UNIDAD 5'!T6</f>
        <v>Propón situaciones en las que los estudiantes deban argumentar y sustentar con evidencia sus respuestas acerca del potencial de los recursos naturales en la obtención de energía para diferentes usos. Complementa con un problema ambiental local que el estudiante deba resolver con criterios científicos. Verifica que el estudiante pueda juzgar la validez de una afirmación o de un modelo explicativo, y no solo describirlo.</v>
      </c>
      <c r="J115" s="2" t="str">
        <f>'[1]UNIDAD 5'!O6</f>
        <v>Explicar como las nuevas tecnologías reducen la contaminación, recursos o utilizan diferentes tipos de energía más limpias y seguras.</v>
      </c>
    </row>
    <row r="116" spans="1:10" ht="75" customHeight="1" x14ac:dyDescent="0.35">
      <c r="A116" s="3" t="s">
        <v>1</v>
      </c>
      <c r="B116" s="3" t="str">
        <f>TRIM('[1]UNIDAD 5'!E7)</f>
        <v>Exploro</v>
      </c>
      <c r="C116" s="3">
        <f>'[1]UNIDAD 5'!F7</f>
        <v>5</v>
      </c>
      <c r="D116" s="3">
        <f>'[1]UNIDAD 5'!H7</f>
        <v>6</v>
      </c>
      <c r="E116" s="2" t="str">
        <f>'[1]UNIDAD 5'!L7</f>
        <v>Pensando en los procesos de conservación y mejoramiento del medioambiente.</v>
      </c>
      <c r="F116" s="3" t="str">
        <f>'[1]UNIDAD 5'!R7</f>
        <v>Argumentación</v>
      </c>
      <c r="G116" s="3" t="str">
        <f>'[1]UNIDAD 5'!P7</f>
        <v>BAJA</v>
      </c>
      <c r="H116" s="2" t="str">
        <f>'[1]UNIDAD 5'!J7</f>
        <v>Ambiental</v>
      </c>
      <c r="I116" s="2" t="str">
        <f>'[1]UNIDAD 5'!T7</f>
        <v>Propón situaciones en las que los estudiantes deban argumentar y sustentar con evidencia sus respuestas acerca del potencial de los recursos naturales en la obtención de energía para diferentes usos. Complementa con un problema ambiental local que el estudiante deba resolver con criterios científicos. Verifica que el estudiante pueda juzgar la validez de una afirmación o de un modelo explicativo, y no solo describirlo.</v>
      </c>
      <c r="J116" s="2" t="str">
        <f>'[1]UNIDAD 5'!O7</f>
        <v>Argumentar las aplicaciones de las nuevas tecnologías.</v>
      </c>
    </row>
    <row r="117" spans="1:10" ht="75" customHeight="1" x14ac:dyDescent="0.35">
      <c r="A117" s="3" t="s">
        <v>1</v>
      </c>
      <c r="B117" s="3" t="str">
        <f>TRIM('[1]UNIDAD 5'!E8)</f>
        <v>Exploro</v>
      </c>
      <c r="C117" s="3">
        <f>'[1]UNIDAD 5'!F8</f>
        <v>6</v>
      </c>
      <c r="D117" s="3">
        <f>'[1]UNIDAD 5'!H8</f>
        <v>6</v>
      </c>
      <c r="E117" s="2" t="str">
        <f>'[1]UNIDAD 5'!L8</f>
        <v>Pensando en los procesos de conservación y mejoramiento del medioambiente.</v>
      </c>
      <c r="F117" s="3" t="str">
        <f>'[1]UNIDAD 5'!R8</f>
        <v>Análisis</v>
      </c>
      <c r="G117" s="3" t="str">
        <f>'[1]UNIDAD 5'!P8</f>
        <v>MEDIA</v>
      </c>
      <c r="H117" s="2" t="str">
        <f>'[1]UNIDAD 5'!J8</f>
        <v>Ambiental</v>
      </c>
      <c r="I117" s="2" t="str">
        <f>'[1]UNIDAD 5'!T8</f>
        <v>Proporciona ejemplos concretos del potencial de los recursos naturales en la obtención de energía para diferentes usos y guía a los estudiantes para que comparen semejanzas y diferencias con un cuadro comparativo. Complementa con un problema ambiental local que el estudiante deba resolver con criterios científicos. Verifica que el estudiante no se limite a repetir el concepto, sino que lo use para resolver un problema distinto al trabajado en clase.</v>
      </c>
      <c r="J117" s="2" t="str">
        <f>'[1]UNIDAD 5'!O8</f>
        <v>Relacionar el calentamiento global con algunas de sus consecuencias.</v>
      </c>
    </row>
    <row r="118" spans="1:10" ht="75" customHeight="1" x14ac:dyDescent="0.35">
      <c r="A118" s="3" t="s">
        <v>1</v>
      </c>
      <c r="B118" s="3" t="str">
        <f>TRIM('[1]UNIDAD 5'!E9)</f>
        <v>Exploro</v>
      </c>
      <c r="C118" s="3" t="str">
        <f>'[1]UNIDAD 5'!F9</f>
        <v>7</v>
      </c>
      <c r="D118" s="3">
        <f>'[1]UNIDAD 5'!H9</f>
        <v>6</v>
      </c>
      <c r="E118" s="2" t="str">
        <f>'[1]UNIDAD 5'!L9</f>
        <v>Pensando en los procesos de conservación y mejoramiento del medioambiente.</v>
      </c>
      <c r="F118" s="3" t="str">
        <f>'[1]UNIDAD 5'!R9</f>
        <v>Reconocimiento</v>
      </c>
      <c r="G118" s="3" t="str">
        <f>'[1]UNIDAD 5'!P9</f>
        <v>BAJA</v>
      </c>
      <c r="H118" s="2" t="str">
        <f>'[1]UNIDAD 5'!J9</f>
        <v>Ciencia</v>
      </c>
      <c r="I118" s="2" t="str">
        <f>'[1]UNIDAD 5'!T9</f>
        <v>Presenta ejemplos y contraejemplos de cambios químicos en la cocina, la industria y el ambiente y pide a los estudiantes que los clasifiquen, antes de avanzar a preguntas más complejas. Complementa con un problema ambiental local que el estudiante deba resolver con criterios científicos. Verifica que el estudiante no se limite a repetir el concepto, sino que lo use para resolver un problema distinto al trabajado en clase.</v>
      </c>
      <c r="J118" s="2" t="str">
        <f>'[1]UNIDAD 5'!O9</f>
        <v>Identificar la aplicación de los cambios químicos en la industria.</v>
      </c>
    </row>
    <row r="119" spans="1:10" ht="60" customHeight="1" x14ac:dyDescent="0.35">
      <c r="A119" s="3" t="s">
        <v>1</v>
      </c>
      <c r="B119" s="3" t="str">
        <f>TRIM('[1]UNIDAD 5'!E10)</f>
        <v>Exploro</v>
      </c>
      <c r="C119" s="3">
        <f>'[1]UNIDAD 5'!F10</f>
        <v>8</v>
      </c>
      <c r="D119" s="3">
        <f>'[1]UNIDAD 5'!H10</f>
        <v>6</v>
      </c>
      <c r="E119" s="2" t="str">
        <f>'[1]UNIDAD 5'!L10</f>
        <v>Considerando la importancia de los hábitos saludables en el cuidado del cuerpo.</v>
      </c>
      <c r="F119" s="3" t="str">
        <f>'[1]UNIDAD 5'!R10</f>
        <v>Argumentación</v>
      </c>
      <c r="G119" s="3" t="str">
        <f>'[1]UNIDAD 5'!P10</f>
        <v>BAJA</v>
      </c>
      <c r="H119" s="2" t="str">
        <f>'[1]UNIDAD 5'!J10</f>
        <v>Social</v>
      </c>
      <c r="I119" s="2" t="str">
        <f>'[1]UNIDAD 5'!T10</f>
        <v>Propón situaciones en las que los estudiantes deban argumentar y sustentar con evidencia sus respuestas acerca de relaciones entre el deporte y la salud física y mental. Complementa con casos cotidianos de autocuidado que el estudiante deba justificar con criterios científicos. Verifica que el estudiante pueda juzgar la validez de una afirmación o de un modelo explicativo, y no solo describirlo.</v>
      </c>
      <c r="J119" s="2" t="str">
        <f>'[1]UNIDAD 5'!O10</f>
        <v>Explicar la relación entre el tabaquismo y salud mental.</v>
      </c>
    </row>
    <row r="120" spans="1:10" ht="60" customHeight="1" x14ac:dyDescent="0.35">
      <c r="A120" s="3" t="s">
        <v>1</v>
      </c>
      <c r="B120" s="3" t="str">
        <f>TRIM('[1]UNIDAD 5'!E11)</f>
        <v>Exploro</v>
      </c>
      <c r="C120" s="3">
        <f>'[1]UNIDAD 5'!F11</f>
        <v>9</v>
      </c>
      <c r="D120" s="3">
        <f>'[1]UNIDAD 5'!H11</f>
        <v>6</v>
      </c>
      <c r="E120" s="2" t="str">
        <f>'[1]UNIDAD 5'!L11</f>
        <v>Considerando la importancia de los hábitos saludables en el cuidado del cuerpo.</v>
      </c>
      <c r="F120" s="3" t="str">
        <f>'[1]UNIDAD 5'!R11</f>
        <v>Reconocimiento</v>
      </c>
      <c r="G120" s="3" t="str">
        <f>'[1]UNIDAD 5'!P11</f>
        <v>ALTA</v>
      </c>
      <c r="H120" s="2" t="str">
        <f>'[1]UNIDAD 5'!J11</f>
        <v>Social</v>
      </c>
      <c r="I120" s="2" t="str">
        <f>'[1]UNIDAD 5'!T11</f>
        <v>Presenta ejemplos y contraejemplos de relaciones entre el deporte y la salud física y mental y pide a los estudiantes que los clasifiquen, antes de avanzar a preguntas más complejas. Complementa con casos cotidianos de autocuidado que el estudiante deba justificar con criterios científicos. Verifica que el estudiante pueda juzgar la validez de una afirmación o de un modelo explicativo, y no solo describirlo.</v>
      </c>
      <c r="J120" s="2" t="str">
        <f>'[1]UNIDAD 5'!O11</f>
        <v>Identificar la importancia de evitar el consumo de tabaco.</v>
      </c>
    </row>
    <row r="121" spans="1:10" ht="75" customHeight="1" x14ac:dyDescent="0.35">
      <c r="A121" s="3" t="s">
        <v>1</v>
      </c>
      <c r="B121" s="3" t="str">
        <f>TRIM('[1]UNIDAD 5'!E12)</f>
        <v>Exploro</v>
      </c>
      <c r="C121" s="3" t="str">
        <f>'[1]UNIDAD 5'!F12</f>
        <v>10</v>
      </c>
      <c r="D121" s="3">
        <f>'[1]UNIDAD 5'!H12</f>
        <v>6</v>
      </c>
      <c r="E121" s="2" t="str">
        <f>'[1]UNIDAD 5'!L12</f>
        <v>Pensando en los procesos de conservación y mejoramiento del medioambiente.</v>
      </c>
      <c r="F121" s="3" t="str">
        <f>'[1]UNIDAD 5'!R12</f>
        <v>Reconocimiento</v>
      </c>
      <c r="G121" s="3" t="str">
        <f>'[1]UNIDAD 5'!P12</f>
        <v>BAJA</v>
      </c>
      <c r="H121" s="2" t="str">
        <f>'[1]UNIDAD 5'!J12</f>
        <v>Ambiental</v>
      </c>
      <c r="I121" s="2" t="str">
        <f>'[1]UNIDAD 5'!T12</f>
        <v>Presenta ejemplos y contraejemplos de cambios químicos en la cocina, la industria y el ambiente y pide a los estudiantes que los clasifiquen, antes de avanzar a preguntas más complejas. Complementa con un problema ambiental local que el estudiante deba resolver con criterios científicos. Verifica que el estudiante no se limite a repetir el concepto, sino que lo use para resolver un problema distinto al trabajado en clase.</v>
      </c>
      <c r="J121" s="2" t="str">
        <f>'[1]UNIDAD 5'!O12</f>
        <v>Reconocer las problemáticas ambientales, industriales o cotidianas de los cambios químicos.</v>
      </c>
    </row>
    <row r="122" spans="1:10" ht="75" customHeight="1" x14ac:dyDescent="0.35">
      <c r="A122" s="3" t="s">
        <v>1</v>
      </c>
      <c r="B122" s="3" t="str">
        <f>TRIM('[1]UNIDAD 5'!E13)</f>
        <v>Desarrollo</v>
      </c>
      <c r="C122" s="3">
        <f>'[1]UNIDAD 5'!F13</f>
        <v>1</v>
      </c>
      <c r="D122" s="3">
        <f>'[1]UNIDAD 5'!H13</f>
        <v>6</v>
      </c>
      <c r="E122" s="2" t="str">
        <f>'[1]UNIDAD 5'!L13</f>
        <v>Considerando la importancia de los hábitos saludables en el cuidado del cuerpo.</v>
      </c>
      <c r="F122" s="3" t="str">
        <f>'[1]UNIDAD 5'!R13</f>
        <v>Reconocimiento</v>
      </c>
      <c r="G122" s="3" t="str">
        <f>'[1]UNIDAD 5'!P13</f>
        <v>BAJA</v>
      </c>
      <c r="H122" s="2" t="str">
        <f>'[1]UNIDAD 5'!J13</f>
        <v>Ambiental</v>
      </c>
      <c r="I122" s="2" t="str">
        <f>'[1]UNIDAD 5'!T13</f>
        <v>Presenta ejemplos y contraejemplos de relaciones entre el deporte y la salud física y mental y pide a los estudiantes que los clasifiquen, antes de avanzar a preguntas más complejas. Complementa con casos cotidianos de autocuidado que el estudiante deba justificar con criterios científicos. Verifica que el estudiante no se limite a repetir el concepto, sino que lo use para resolver un problema distinto al trabajado en clase.</v>
      </c>
      <c r="J122" s="2" t="str">
        <f>'[1]UNIDAD 5'!O13</f>
        <v>Identificar estrategias que promuevan la salud pública.</v>
      </c>
    </row>
    <row r="123" spans="1:10" ht="75" customHeight="1" x14ac:dyDescent="0.35">
      <c r="A123" s="3" t="s">
        <v>1</v>
      </c>
      <c r="B123" s="3" t="str">
        <f>TRIM('[1]UNIDAD 5'!E14)</f>
        <v>Desarrollo</v>
      </c>
      <c r="C123" s="3">
        <f>'[1]UNIDAD 5'!F14</f>
        <v>2</v>
      </c>
      <c r="D123" s="3">
        <f>'[1]UNIDAD 5'!H14</f>
        <v>6</v>
      </c>
      <c r="E123" s="2" t="str">
        <f>'[1]UNIDAD 5'!L14</f>
        <v>Pensando en los procesos de conservación y mejoramiento del medioambiente.</v>
      </c>
      <c r="F123" s="3" t="str">
        <f>'[1]UNIDAD 5'!R14</f>
        <v>Reconocimiento</v>
      </c>
      <c r="G123" s="3" t="str">
        <f>'[1]UNIDAD 5'!P14</f>
        <v>BAJA</v>
      </c>
      <c r="H123" s="2" t="str">
        <f>'[1]UNIDAD 5'!J14</f>
        <v>Ciencia</v>
      </c>
      <c r="I123" s="2" t="str">
        <f>'[1]UNIDAD 5'!T14</f>
        <v>Presenta ejemplos y contraejemplos del potencial de los recursos naturales en la obtención de energía para diferentes usos y pide a los estudiantes que los clasifiquen, antes de avanzar a preguntas más complejas. Complementa con un problema ambiental local que el estudiante deba resolver con criterios científicos. Verifica que el estudiante no se limite a repetir el concepto, sino que lo use para resolver un problema distinto al trabajado en clase.</v>
      </c>
      <c r="J123" s="2" t="str">
        <f>'[1]UNIDAD 5'!O14</f>
        <v>Identificar equipos que utilizan recursos naturales para su funcionamiento.</v>
      </c>
    </row>
    <row r="124" spans="1:10" ht="60" customHeight="1" x14ac:dyDescent="0.35">
      <c r="A124" s="3" t="s">
        <v>1</v>
      </c>
      <c r="B124" s="3" t="str">
        <f>TRIM('[1]UNIDAD 5'!E15)</f>
        <v>Desarrollo</v>
      </c>
      <c r="C124" s="3">
        <f>'[1]UNIDAD 5'!F15</f>
        <v>3</v>
      </c>
      <c r="D124" s="3">
        <f>'[1]UNIDAD 5'!H15</f>
        <v>6</v>
      </c>
      <c r="E124" s="2" t="str">
        <f>'[1]UNIDAD 5'!L15</f>
        <v>Integrando los avances tecnológicos y el desarrollo científico en la sociedad.</v>
      </c>
      <c r="F124" s="3" t="str">
        <f>'[1]UNIDAD 5'!R15</f>
        <v>Reconocimiento</v>
      </c>
      <c r="G124" s="3" t="str">
        <f>'[1]UNIDAD 5'!P15</f>
        <v>BAJA</v>
      </c>
      <c r="H124" s="2" t="str">
        <f>'[1]UNIDAD 5'!J15</f>
        <v>Ciencia</v>
      </c>
      <c r="I124" s="2" t="str">
        <f>'[1]UNIDAD 5'!T15</f>
        <v>Presenta ejemplos y contraejemplos de aplicaciones tecnológicas del modelo de mecánica de fluidos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
      <c r="J124" s="2" t="str">
        <f>'[1]UNIDAD 5'!O15</f>
        <v>Identificar máquinas modernas que pueden cumplir con funciones hechas por los hombres en la antiguedad.</v>
      </c>
    </row>
    <row r="125" spans="1:10" ht="60" customHeight="1" x14ac:dyDescent="0.35">
      <c r="A125" s="3" t="s">
        <v>1</v>
      </c>
      <c r="B125" s="3" t="str">
        <f>TRIM('[1]UNIDAD 5'!E16)</f>
        <v>Desarrollo</v>
      </c>
      <c r="C125" s="3">
        <f>'[1]UNIDAD 5'!F16</f>
        <v>4</v>
      </c>
      <c r="D125" s="3">
        <f>'[1]UNIDAD 5'!H16</f>
        <v>6</v>
      </c>
      <c r="E125" s="2" t="str">
        <f>'[1]UNIDAD 5'!L16</f>
        <v>Integrando los avances tecnológicos y el desarrollo científico en la sociedad.</v>
      </c>
      <c r="F125" s="3" t="str">
        <f>'[1]UNIDAD 5'!R16</f>
        <v>Argumentación</v>
      </c>
      <c r="G125" s="3" t="str">
        <f>'[1]UNIDAD 5'!P16</f>
        <v>BAJA</v>
      </c>
      <c r="H125" s="2" t="str">
        <f>'[1]UNIDAD 5'!J16</f>
        <v>Ciencia</v>
      </c>
      <c r="I125" s="2" t="str">
        <f>'[1]UNIDAD 5'!T16</f>
        <v>Propón situaciones en las que los estudiantes deban argumentar y sustentar con evidencia sus respuestas acerca de la utilidad de microorganismos en la industria alimenticia. Complementa con un debate corto sobre ventajas y riesgos de un desarrollo tecnológico concreto. Verifica que el estudiante pueda juzgar la validez de una afirmación o de un modelo explicativo, y no solo describirlo.</v>
      </c>
      <c r="J125" s="2" t="str">
        <f>'[1]UNIDAD 5'!O16</f>
        <v>Explicar ventajas y/o desventajas de la manipulación genética.</v>
      </c>
    </row>
    <row r="126" spans="1:10" ht="60" customHeight="1" x14ac:dyDescent="0.35">
      <c r="A126" s="3" t="s">
        <v>1</v>
      </c>
      <c r="B126" s="3" t="str">
        <f>TRIM('[1]UNIDAD 5'!E17)</f>
        <v>Desarrollo</v>
      </c>
      <c r="C126" s="3">
        <f>'[1]UNIDAD 5'!F17</f>
        <v>5</v>
      </c>
      <c r="D126" s="3">
        <f>'[1]UNIDAD 5'!H17</f>
        <v>6</v>
      </c>
      <c r="E126" s="2" t="str">
        <f>'[1]UNIDAD 5'!L17</f>
        <v>Integrando los avances tecnológicos y el desarrollo científico en la sociedad.</v>
      </c>
      <c r="F126" s="3" t="str">
        <f>'[1]UNIDAD 5'!R17</f>
        <v>Argumentación</v>
      </c>
      <c r="G126" s="3" t="str">
        <f>'[1]UNIDAD 5'!P17</f>
        <v>BAJA</v>
      </c>
      <c r="H126" s="2" t="str">
        <f>'[1]UNIDAD 5'!J17</f>
        <v>Ciencia</v>
      </c>
      <c r="I126" s="2" t="str">
        <f>'[1]UNIDAD 5'!T17</f>
        <v>Propón situaciones en las que los estudiantes deban argumentar y sustentar con evidencia sus respuestas acerca de la utilidad de microorganismos en la industria alimenticia. Complementa con un debate corto sobre ventajas y riesgos de un desarrollo tecnológico concreto. Verifica que el estudiante pueda juzgar la validez de una afirmación o de un modelo explicativo, y no solo describirlo.</v>
      </c>
      <c r="J126" s="2" t="str">
        <f>'[1]UNIDAD 5'!O17</f>
        <v>Explicar desventajas en el ecosistema de la manipulación genética de organismos.</v>
      </c>
    </row>
    <row r="127" spans="1:10" ht="60" customHeight="1" x14ac:dyDescent="0.35">
      <c r="A127" s="3" t="s">
        <v>1</v>
      </c>
      <c r="B127" s="3" t="str">
        <f>TRIM('[1]UNIDAD 5'!E18)</f>
        <v>Desarrollo</v>
      </c>
      <c r="C127" s="3">
        <f>'[1]UNIDAD 5'!F18</f>
        <v>6</v>
      </c>
      <c r="D127" s="3">
        <f>'[1]UNIDAD 5'!H18</f>
        <v>6</v>
      </c>
      <c r="E127" s="2" t="str">
        <f>'[1]UNIDAD 5'!L18</f>
        <v>Integrando los avances tecnológicos y el desarrollo científico en la sociedad.</v>
      </c>
      <c r="F127" s="3" t="str">
        <f>'[1]UNIDAD 5'!R18</f>
        <v>Argumentación</v>
      </c>
      <c r="G127" s="3" t="str">
        <f>'[1]UNIDAD 5'!P18</f>
        <v>BAJA</v>
      </c>
      <c r="H127" s="2" t="str">
        <f>'[1]UNIDAD 5'!J18</f>
        <v>Ciencia</v>
      </c>
      <c r="I127" s="2" t="str">
        <f>'[1]UNIDAD 5'!T18</f>
        <v>Propón situaciones en las que los estudiantes deban argumentar y sustentar con evidencia sus respuestas acerca de la utilidad de microorganismos en la industria alimenticia. Complementa con un debate corto sobre ventajas y riesgos de un desarrollo tecnológico concreto. Verifica que el estudiante pueda juzgar la validez de una afirmación o de un modelo explicativo, y no solo describirlo.</v>
      </c>
      <c r="J127" s="2" t="str">
        <f>'[1]UNIDAD 5'!O18</f>
        <v>Explicar aspectos relevantes de los componentes empleados en técnicas de manipulación genética.</v>
      </c>
    </row>
    <row r="128" spans="1:10" ht="75" customHeight="1" x14ac:dyDescent="0.35">
      <c r="A128" s="3" t="s">
        <v>1</v>
      </c>
      <c r="B128" s="3" t="str">
        <f>TRIM('[1]UNIDAD 5'!E19)</f>
        <v>Desarrollo</v>
      </c>
      <c r="C128" s="3">
        <f>'[1]UNIDAD 5'!F19</f>
        <v>7</v>
      </c>
      <c r="D128" s="3">
        <f>'[1]UNIDAD 5'!H19</f>
        <v>6</v>
      </c>
      <c r="E128" s="2" t="str">
        <f>'[1]UNIDAD 5'!L19</f>
        <v>Integrando los avances tecnológicos y el desarrollo científico en la sociedad.</v>
      </c>
      <c r="F128" s="3" t="str">
        <f>'[1]UNIDAD 5'!R19</f>
        <v>Argumentación</v>
      </c>
      <c r="G128" s="3" t="str">
        <f>'[1]UNIDAD 5'!P19</f>
        <v>BAJA</v>
      </c>
      <c r="H128" s="2" t="str">
        <f>'[1]UNIDAD 5'!J19</f>
        <v>Ciencia</v>
      </c>
      <c r="I128" s="2" t="str">
        <f>'[1]UNIDAD 5'!T19</f>
        <v>Propón situaciones en las que los estudiantes deban argumentar y sustentar con evidencia sus respuestas acerca del desarrollo de los componentes de los circuitos eléctricos y su impacto en la vida diaria. Complementa con un debate corto sobre ventajas y riesgos de un desarrollo tecnológico concreto. Verifica que el estudiante pueda juzgar la validez de una afirmación o de un modelo explicativo, y no solo describirlo.</v>
      </c>
      <c r="J128" s="2" t="str">
        <f>'[1]UNIDAD 5'!O19</f>
        <v>Explicar la importancia en la vida cotidiana de las partes de un circuito eléctrico.</v>
      </c>
    </row>
    <row r="129" spans="1:10" ht="75" customHeight="1" x14ac:dyDescent="0.35">
      <c r="A129" s="3" t="s">
        <v>1</v>
      </c>
      <c r="B129" s="3" t="str">
        <f>TRIM('[1]UNIDAD 5'!E20)</f>
        <v>Desarrollo</v>
      </c>
      <c r="C129" s="3" t="str">
        <f>'[1]UNIDAD 5'!F20</f>
        <v>8</v>
      </c>
      <c r="D129" s="3">
        <f>'[1]UNIDAD 5'!H20</f>
        <v>6</v>
      </c>
      <c r="E129" s="2" t="str">
        <f>'[1]UNIDAD 5'!L20</f>
        <v>Integrando los avances tecnológicos y el desarrollo científico en la sociedad.</v>
      </c>
      <c r="F129" s="3" t="str">
        <f>'[1]UNIDAD 5'!R20</f>
        <v>Argumentación</v>
      </c>
      <c r="G129" s="3" t="str">
        <f>'[1]UNIDAD 5'!P20</f>
        <v>BAJA</v>
      </c>
      <c r="H129" s="2" t="str">
        <f>'[1]UNIDAD 5'!J20</f>
        <v>Ciencia</v>
      </c>
      <c r="I129" s="2" t="str">
        <f>'[1]UNIDAD 5'!T20</f>
        <v>Propón situaciones en las que los estudiantes deban argumentar y sustentar con evidencia sus respuestas acerca de sobre los adelantos científicos y tecnológicos que han hecho posible la exploración del universo. Complementa con un debate corto sobre ventajas y riesgos de un desarrollo tecnológico concreto. Verifica que el estudiante pueda juzgar la validez de una afirmación o de un modelo explicativo, y no solo describirlo.</v>
      </c>
      <c r="J129" s="2" t="str">
        <f>'[1]UNIDAD 5'!O20</f>
        <v>Explicar el uso de diferentes equipos que permiten la exploración del universo.</v>
      </c>
    </row>
    <row r="130" spans="1:10" ht="75" customHeight="1" x14ac:dyDescent="0.35">
      <c r="A130" s="3" t="s">
        <v>1</v>
      </c>
      <c r="B130" s="3" t="str">
        <f>TRIM('[1]UNIDAD 5'!E21)</f>
        <v>Desarrollo</v>
      </c>
      <c r="C130" s="3">
        <f>'[1]UNIDAD 5'!F21</f>
        <v>9</v>
      </c>
      <c r="D130" s="3">
        <f>'[1]UNIDAD 5'!H21</f>
        <v>6</v>
      </c>
      <c r="E130" s="2" t="str">
        <f>'[1]UNIDAD 5'!L21</f>
        <v>Modelando y diseñando experiencias para reconocer las variables que permiten obtener resultados y conclusiones.</v>
      </c>
      <c r="F130" s="3" t="str">
        <f>'[1]UNIDAD 5'!R21</f>
        <v>Reconocimiento</v>
      </c>
      <c r="G130" s="3" t="str">
        <f>'[1]UNIDAD 5'!P21</f>
        <v>BAJA</v>
      </c>
      <c r="H130" s="2" t="str">
        <f>'[1]UNIDAD 5'!J21</f>
        <v>Social</v>
      </c>
      <c r="I130" s="2" t="str">
        <f>'[1]UNIDAD 5'!T21</f>
        <v>Presenta ejemplos y contraejemplos de relaciones causales y multicausales entre los datos recopilados y pide a los estudiantes que los clasifiquen, antes de avanzar a preguntas más complejas. Complementa pidiendo que identifique la variable independiente, la dependiente y la de control en un montaje sencillo. Verifica que el estudiante pueda juzgar la validez de una afirmación o de un modelo explicativo, y no solo describirlo.</v>
      </c>
      <c r="J130" s="2" t="str">
        <f>'[1]UNIDAD 5'!O21</f>
        <v>Reconocer la incidencia de los factores tecnológicos en los procesos industriales.</v>
      </c>
    </row>
    <row r="131" spans="1:10" ht="60" customHeight="1" x14ac:dyDescent="0.35">
      <c r="A131" s="3" t="s">
        <v>1</v>
      </c>
      <c r="B131" s="3" t="str">
        <f>TRIM('[1]UNIDAD 5'!E22)</f>
        <v>Desarrollo</v>
      </c>
      <c r="C131" s="3">
        <f>'[1]UNIDAD 5'!F22</f>
        <v>10</v>
      </c>
      <c r="D131" s="3">
        <f>'[1]UNIDAD 5'!H22</f>
        <v>6</v>
      </c>
      <c r="E131" s="2" t="str">
        <f>'[1]UNIDAD 5'!L22</f>
        <v>Integrando los avances tecnológicos y el desarrollo científico en la sociedad.</v>
      </c>
      <c r="F131" s="3" t="str">
        <f>'[1]UNIDAD 5'!R22</f>
        <v>Argumentación</v>
      </c>
      <c r="G131" s="3" t="str">
        <f>'[1]UNIDAD 5'!P22</f>
        <v>BAJA</v>
      </c>
      <c r="H131" s="2" t="str">
        <f>'[1]UNIDAD 5'!J22</f>
        <v>Social</v>
      </c>
      <c r="I131" s="2" t="str">
        <f>'[1]UNIDAD 5'!T22</f>
        <v>Propón situaciones en las que los estudiantes deban argumentar y sustentar con evidencia sus respuestas acerca de tecnologías desarrolladas en Colombia. Complementa con un debate corto sobre ventajas y riesgos de un desarrollo tecnológico concreto. Verifica que el estudiante pueda juzgar la validez de una afirmación o de un modelo explicativo, y no solo describirlo.</v>
      </c>
      <c r="J131" s="2" t="str">
        <f>'[1]UNIDAD 5'!O22</f>
        <v>Explicar cuándo un modelo, estudio o una herramienta se considera un avance científico.</v>
      </c>
    </row>
    <row r="132" spans="1:10" ht="75" customHeight="1" x14ac:dyDescent="0.35">
      <c r="A132" s="3" t="s">
        <v>1</v>
      </c>
      <c r="B132" s="3" t="str">
        <f>TRIM('[1]UNIDAD 5'!E23)</f>
        <v>Desarrollo</v>
      </c>
      <c r="C132" s="3">
        <f>'[1]UNIDAD 5'!F23</f>
        <v>11</v>
      </c>
      <c r="D132" s="3">
        <f>'[1]UNIDAD 5'!H23</f>
        <v>6</v>
      </c>
      <c r="E132" s="2" t="str">
        <f>'[1]UNIDAD 5'!L23</f>
        <v>Considerando la importancia de los hábitos saludables en el cuidado del cuerpo.</v>
      </c>
      <c r="F132" s="3" t="str">
        <f>'[1]UNIDAD 5'!R23</f>
        <v>Argumentación</v>
      </c>
      <c r="G132" s="3" t="str">
        <f>'[1]UNIDAD 5'!P23</f>
        <v>BAJA</v>
      </c>
      <c r="H132" s="2" t="str">
        <f>'[1]UNIDAD 5'!J23</f>
        <v>Social</v>
      </c>
      <c r="I132" s="2" t="str">
        <f>'[1]UNIDAD 5'!T23</f>
        <v>Propón situaciones en las que los estudiantes deban argumentar y sustentar con evidencia sus respuestas acerca de y explico medidas de prevención del embarazo y de las enfermedades de transmisión sexual. Complementa con casos cotidianos de autocuidado que el estudiante deba justificar con criterios científicos. Verifica que el estudiante pueda juzgar la validez de una afirmación o de un modelo explicativo, y no solo describirlo.</v>
      </c>
      <c r="J132" s="2" t="str">
        <f>'[1]UNIDAD 5'!O23</f>
        <v>Explicar los efectos nocivos para el ambiente de algunos de los componentes de los circuitos eléctricos.</v>
      </c>
    </row>
    <row r="133" spans="1:10" ht="60" customHeight="1" x14ac:dyDescent="0.35">
      <c r="A133" s="3" t="s">
        <v>1</v>
      </c>
      <c r="B133" s="3" t="str">
        <f>TRIM('[1]UNIDAD 5'!E24)</f>
        <v>Desarrollo</v>
      </c>
      <c r="C133" s="3">
        <f>'[1]UNIDAD 5'!F24</f>
        <v>12</v>
      </c>
      <c r="D133" s="3">
        <f>'[1]UNIDAD 5'!H24</f>
        <v>6</v>
      </c>
      <c r="E133" s="2" t="str">
        <f>'[1]UNIDAD 5'!L24</f>
        <v>Integrando los avances tecnológicos y el desarrollo científico en la sociedad.</v>
      </c>
      <c r="F133" s="3" t="str">
        <f>'[1]UNIDAD 5'!R24</f>
        <v>Reconocimiento</v>
      </c>
      <c r="G133" s="3" t="str">
        <f>'[1]UNIDAD 5'!P24</f>
        <v>BAJA</v>
      </c>
      <c r="H133" s="2" t="str">
        <f>'[1]UNIDAD 5'!J24</f>
        <v>Ciencia</v>
      </c>
      <c r="I133" s="2" t="str">
        <f>'[1]UNIDAD 5'!T24</f>
        <v>Presenta ejemplos y contraejemplos de las ventajas y desventajas de la manipulación genética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
      <c r="J133" s="2" t="str">
        <f>'[1]UNIDAD 5'!O24</f>
        <v>Identificar las ventajas de los organismos manipulados genéticamente en la industria agrícola.</v>
      </c>
    </row>
    <row r="134" spans="1:10" ht="60" customHeight="1" x14ac:dyDescent="0.35">
      <c r="A134" s="3" t="s">
        <v>1</v>
      </c>
      <c r="B134" s="3" t="str">
        <f>TRIM('[1]UNIDAD 5'!E25)</f>
        <v>Desarrollo</v>
      </c>
      <c r="C134" s="3">
        <f>'[1]UNIDAD 5'!F25</f>
        <v>13</v>
      </c>
      <c r="D134" s="3">
        <f>'[1]UNIDAD 5'!H25</f>
        <v>6</v>
      </c>
      <c r="E134" s="2" t="str">
        <f>'[1]UNIDAD 5'!L25</f>
        <v>Integrando los avances tecnológicos y el desarrollo científico en la sociedad.</v>
      </c>
      <c r="F134" s="3" t="str">
        <f>'[1]UNIDAD 5'!R25</f>
        <v>Reconocimiento</v>
      </c>
      <c r="G134" s="3" t="str">
        <f>'[1]UNIDAD 5'!P25</f>
        <v>BAJA</v>
      </c>
      <c r="H134" s="2" t="str">
        <f>'[1]UNIDAD 5'!J25</f>
        <v>Ciencia</v>
      </c>
      <c r="I134" s="2" t="str">
        <f>'[1]UNIDAD 5'!T25</f>
        <v>Presenta ejemplos y contraejemplos de las ventajas y desventajas de la manipulación genética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
      <c r="J134" s="2" t="str">
        <f>'[1]UNIDAD 5'!O25</f>
        <v>Identificar usos de tecnologías que empleen el ADN en la modificación de características en los seres vivos.</v>
      </c>
    </row>
    <row r="135" spans="1:10" ht="60" customHeight="1" x14ac:dyDescent="0.35">
      <c r="A135" s="3" t="s">
        <v>1</v>
      </c>
      <c r="B135" s="3" t="str">
        <f>TRIM('[1]UNIDAD 5'!E26)</f>
        <v>Desarrollo</v>
      </c>
      <c r="C135" s="3">
        <f>'[1]UNIDAD 5'!F26</f>
        <v>14</v>
      </c>
      <c r="D135" s="3">
        <f>'[1]UNIDAD 5'!H26</f>
        <v>6</v>
      </c>
      <c r="E135" s="2" t="str">
        <f>'[1]UNIDAD 5'!L26</f>
        <v>Integrando los avances tecnológicos y el desarrollo científico en la sociedad.</v>
      </c>
      <c r="F135" s="3" t="str">
        <f>'[1]UNIDAD 5'!R26</f>
        <v>Reconocimiento</v>
      </c>
      <c r="G135" s="3" t="str">
        <f>'[1]UNIDAD 5'!P26</f>
        <v>BAJA</v>
      </c>
      <c r="H135" s="2" t="str">
        <f>'[1]UNIDAD 5'!J26</f>
        <v>Ciencia</v>
      </c>
      <c r="I135" s="2" t="str">
        <f>'[1]UNIDAD 5'!T26</f>
        <v>Presenta ejemplos y contraejemplos de las ventajas y desventajas de la manipulación genética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
      <c r="J135" s="2" t="str">
        <f>'[1]UNIDAD 5'!O26</f>
        <v>Identificar ventajas y/o desventajas de la manipulación genética.</v>
      </c>
    </row>
    <row r="136" spans="1:10" ht="75" customHeight="1" x14ac:dyDescent="0.35">
      <c r="A136" s="3" t="s">
        <v>1</v>
      </c>
      <c r="B136" s="3" t="str">
        <f>TRIM('[1]UNIDAD 5'!E27)</f>
        <v>Desarrollo</v>
      </c>
      <c r="C136" s="3">
        <f>'[1]UNIDAD 5'!F27</f>
        <v>15</v>
      </c>
      <c r="D136" s="3">
        <f>'[1]UNIDAD 5'!H27</f>
        <v>6</v>
      </c>
      <c r="E136" s="2" t="str">
        <f>'[1]UNIDAD 5'!L27</f>
        <v>Integrando los avances tecnológicos y el desarrollo científico en la sociedad.</v>
      </c>
      <c r="F136" s="3" t="str">
        <f>'[1]UNIDAD 5'!R27</f>
        <v>Reconocimiento</v>
      </c>
      <c r="G136" s="3" t="str">
        <f>'[1]UNIDAD 5'!P27</f>
        <v>BAJA</v>
      </c>
      <c r="H136" s="2" t="str">
        <f>'[1]UNIDAD 5'!J27</f>
        <v>Ciencia</v>
      </c>
      <c r="I136" s="2" t="str">
        <f>'[1]UNIDAD 5'!T27</f>
        <v>Presenta ejemplos y contraejemplos de productos que pueden tener diferentes niveles de pH y explico algunos de sus usos en actividades cotidianas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
      <c r="J136" s="2" t="str">
        <f>'[1]UNIDAD 5'!O27</f>
        <v>Reconocer el pH de sustancias cotidianas.</v>
      </c>
    </row>
    <row r="137" spans="1:10" ht="75" customHeight="1" x14ac:dyDescent="0.35">
      <c r="A137" s="3" t="s">
        <v>1</v>
      </c>
      <c r="B137" s="3" t="str">
        <f>TRIM('[1]UNIDAD 5'!E28)</f>
        <v>Aplico</v>
      </c>
      <c r="C137" s="3" t="str">
        <f>'[1]UNIDAD 5'!F28</f>
        <v>1</v>
      </c>
      <c r="D137" s="3" t="str">
        <f>'[1]UNIDAD 5'!H28</f>
        <v>6</v>
      </c>
      <c r="E137" s="2" t="str">
        <f>'[1]UNIDAD 5'!L28</f>
        <v>Integrando los avances tecnológicos y el desarrollo científico en la sociedad.</v>
      </c>
      <c r="F137" s="3" t="str">
        <f>'[1]UNIDAD 5'!R28</f>
        <v>Reconocimiento</v>
      </c>
      <c r="G137" s="3" t="str">
        <f>'[1]UNIDAD 5'!P28</f>
        <v>BAJA</v>
      </c>
      <c r="H137" s="2" t="str">
        <f>'[1]UNIDAD 5'!J28</f>
        <v>Ciencia</v>
      </c>
      <c r="I137" s="2" t="str">
        <f>'[1]UNIDAD 5'!T28</f>
        <v>Presenta ejemplos y contraejemplos de información química de las etiquetas de productos manufacturados por diferentes casas comerciales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
      <c r="J137" s="2" t="str">
        <f>'[1]UNIDAD 5'!O28</f>
        <v>Clasificar la imagen de una etiqueta de un producto químico con su respectiva información.</v>
      </c>
    </row>
    <row r="138" spans="1:10" ht="75" customHeight="1" x14ac:dyDescent="0.35">
      <c r="A138" s="3" t="s">
        <v>1</v>
      </c>
      <c r="B138" s="3" t="str">
        <f>TRIM('[1]UNIDAD 5'!E29)</f>
        <v>Aplico</v>
      </c>
      <c r="C138" s="3" t="str">
        <f>'[1]UNIDAD 5'!F29</f>
        <v>2</v>
      </c>
      <c r="D138" s="3" t="str">
        <f>'[1]UNIDAD 5'!H29</f>
        <v>6</v>
      </c>
      <c r="E138" s="2" t="str">
        <f>'[1]UNIDAD 5'!L29</f>
        <v>Integrando los avances tecnológicos y el desarrollo científico en la sociedad.</v>
      </c>
      <c r="F138" s="3" t="str">
        <f>'[1]UNIDAD 5'!R29</f>
        <v>Reconocimiento</v>
      </c>
      <c r="G138" s="3" t="str">
        <f>'[1]UNIDAD 5'!P29</f>
        <v>BAJA</v>
      </c>
      <c r="H138" s="2" t="str">
        <f>'[1]UNIDAD 5'!J29</f>
        <v>Ciencia</v>
      </c>
      <c r="I138" s="2" t="str">
        <f>'[1]UNIDAD 5'!T29</f>
        <v>Presenta ejemplos y contraejemplos de información química de las etiquetas de productos manufacturados por diferentes casas comerciales y pide a los estudiantes que los clasifiquen, antes de avanzar a preguntas más complejas. Complementa con un debate corto sobre ventajas y riesgos de un desarrollo tecnológico concreto. Verifica que el estudiante no se limite a repetir el concepto, sino que lo use para resolver un problema distinto al trabajado en clase.</v>
      </c>
      <c r="J138" s="2" t="str">
        <f>'[1]UNIDAD 5'!O29</f>
        <v>Identificar qué información ofrecen las etiquetas de productos químicos.</v>
      </c>
    </row>
    <row r="139" spans="1:10" ht="60" customHeight="1" x14ac:dyDescent="0.35">
      <c r="A139" s="3" t="s">
        <v>1</v>
      </c>
      <c r="B139" s="3" t="str">
        <f>TRIM('[1]UNIDAD 5'!E30)</f>
        <v>Aplico</v>
      </c>
      <c r="C139" s="3" t="str">
        <f>'[1]UNIDAD 5'!F30</f>
        <v>3</v>
      </c>
      <c r="D139" s="3" t="str">
        <f>'[1]UNIDAD 5'!H30</f>
        <v>6</v>
      </c>
      <c r="E139" s="2" t="str">
        <f>'[1]UNIDAD 5'!L30</f>
        <v>Integrando los avances tecnológicos y el desarrollo científico en la sociedad.</v>
      </c>
      <c r="F139" s="3" t="str">
        <f>'[1]UNIDAD 5'!R30</f>
        <v>Comprensión</v>
      </c>
      <c r="G139" s="3" t="str">
        <f>'[1]UNIDAD 5'!P30</f>
        <v>BAJA</v>
      </c>
      <c r="H139" s="2" t="str">
        <f>'[1]UNIDAD 5'!J30</f>
        <v>Ciencia</v>
      </c>
      <c r="I139" s="2" t="str">
        <f>'[1]UNIDAD 5'!T30</f>
        <v>Pide a los estudiantes que expliquen con sus propias palabras aplicaciones de los diferentes modelos de la luz, verificando que usen correctamente el lenguaje científico. Complementa con un debate corto sobre ventajas y riesgos de un desarrollo tecnológico concreto. Verifica que el estudiante no se limite a repetir el concepto, sino que lo use para resolver un problema distinto al trabajado en clase.</v>
      </c>
      <c r="J139" s="2" t="str">
        <f>'[1]UNIDAD 5'!O30</f>
        <v>Comprender artículos o equipos donde se evidencie el carácter ondulatorio de la luz.</v>
      </c>
    </row>
    <row r="140" spans="1:10" ht="75" customHeight="1" x14ac:dyDescent="0.35">
      <c r="A140" s="3" t="s">
        <v>0</v>
      </c>
      <c r="B140" s="3" t="str">
        <f>TRIM('[1]UNIDAD 6'!E3)</f>
        <v>Exploro</v>
      </c>
      <c r="C140" s="3" t="str">
        <f>'[1]UNIDAD 6'!F3</f>
        <v>1</v>
      </c>
      <c r="D140" s="3">
        <f>'[1]UNIDAD 6'!H3</f>
        <v>6</v>
      </c>
      <c r="E140" s="2" t="str">
        <f>'[1]UNIDAD 6'!L3</f>
        <v>Comunicando el proceso de indagación en modelación científica.</v>
      </c>
      <c r="F140" s="3" t="str">
        <f>'[1]UNIDAD 6'!R3</f>
        <v>Indagación</v>
      </c>
      <c r="G140" s="3" t="str">
        <f>'[1]UNIDAD 6'!P3</f>
        <v>MEDIA</v>
      </c>
      <c r="H140" s="2" t="str">
        <f>'[1]UNIDAD 6'!J3</f>
        <v>Aspectos analíticos de las sustancias</v>
      </c>
      <c r="I140" s="2" t="str">
        <f>'[1]UNIDAD 6'!T3</f>
        <v>Guía a los estudiantes en el diseño de un pequeño experimento o la formulación de una hipótesis relacionada con conclusiones de los experimentos que realizo, aunque no obtenga los resultados esperados. Complementa pidiendo que registre el proceso en informes o gráficas claras, verificables por un tercero. Verifica que el estudiante formule preguntas y analice resultados propios, y no solo responda preguntas cerradas.</v>
      </c>
      <c r="J140" s="2" t="str">
        <f>'[1]UNIDAD 6'!O3</f>
        <v>Establecer a partir de resultados, tablas, gráficas y procedimientos, conclusiones.</v>
      </c>
    </row>
    <row r="141" spans="1:10" ht="60" customHeight="1" x14ac:dyDescent="0.35">
      <c r="A141" s="3" t="s">
        <v>0</v>
      </c>
      <c r="B141" s="3" t="str">
        <f>TRIM('[1]UNIDAD 6'!E4)</f>
        <v>Exploro</v>
      </c>
      <c r="C141" s="3">
        <f>'[1]UNIDAD 6'!F4</f>
        <v>2</v>
      </c>
      <c r="D141" s="3">
        <f>'[1]UNIDAD 6'!H4</f>
        <v>6</v>
      </c>
      <c r="E141" s="2" t="str">
        <f>'[1]UNIDAD 6'!L4</f>
        <v>Modelando y diseñando experiencias para reconocer las variables que permiten obtener resultados y conclusiones.</v>
      </c>
      <c r="F141" s="3" t="str">
        <f>'[1]UNIDAD 6'!R4</f>
        <v>Reconocimiento</v>
      </c>
      <c r="G141" s="3" t="str">
        <f>'[1]UNIDAD 6'!P4</f>
        <v>ALTA</v>
      </c>
      <c r="H141" s="2" t="str">
        <f>'[1]UNIDAD 6'!J4</f>
        <v>Aspectos analíticos de las sustancias</v>
      </c>
      <c r="I141" s="2" t="str">
        <f>'[1]UNIDAD 6'!T4</f>
        <v>Presenta ejemplos y contraejemplos de mediciones con instrumentos y equipos adecuados y pide a los estudiantes que los clasifiquen, antes de avanzar a preguntas más complejas. Complementa pidiendo que identifique la variable independiente, la dependiente y la de control en un montaje sencillo. Verifica que el estudiante formule preguntas y analice resultados propios, y no solo responda preguntas cerradas.</v>
      </c>
      <c r="J141" s="2" t="str">
        <f>'[1]UNIDAD 6'!O4</f>
        <v xml:space="preserve">Reconocer las unidades y magnitudes de los datos obtenidos en un experimento o estudio. </v>
      </c>
    </row>
    <row r="142" spans="1:10" ht="75" customHeight="1" x14ac:dyDescent="0.35">
      <c r="A142" s="3" t="s">
        <v>0</v>
      </c>
      <c r="B142" s="3" t="str">
        <f>TRIM('[1]UNIDAD 6'!E5)</f>
        <v>Exploro</v>
      </c>
      <c r="C142" s="3">
        <f>'[1]UNIDAD 6'!F5</f>
        <v>3</v>
      </c>
      <c r="D142" s="3">
        <f>'[1]UNIDAD 6'!H5</f>
        <v>6</v>
      </c>
      <c r="E142" s="2" t="str">
        <f>'[1]UNIDAD 6'!L5</f>
        <v>Conectando teorías, leyes, afirmaciones y sus implicaciones en los sistemas fisicoquímicos.</v>
      </c>
      <c r="F142" s="3" t="str">
        <f>'[1]UNIDAD 6'!R5</f>
        <v>Argumentación</v>
      </c>
      <c r="G142" s="3" t="str">
        <f>'[1]UNIDAD 6'!P5</f>
        <v>MEDIA</v>
      </c>
      <c r="H142" s="2" t="str">
        <f>'[1]UNIDAD 6'!J5</f>
        <v>Aspectos fisicoquímicos de las sustancias</v>
      </c>
      <c r="I142" s="2" t="str">
        <f>'[1]UNIDAD 6'!T5</f>
        <v>Propón situaciones en las que los estudiantes deban argumentar y sustentar con evidencia sus respuestas acerca de la formación de moléculas y los estados de la materia a partir de fuerzas electrostáticas. Complementa pidiendo que justifique cada afirmación citando la ley o el modelo teórico que la sustenta. Verifica que el estudiante pueda juzgar la validez de una afirmación o de un modelo explicativo, y no solo describirlo.</v>
      </c>
      <c r="J142" s="2" t="str">
        <f>'[1]UNIDAD 6'!O5</f>
        <v>Argumentar a partir de contextos como actúan las fuerzas intermoleculares en los líquidos.</v>
      </c>
    </row>
    <row r="143" spans="1:10" ht="75" customHeight="1" x14ac:dyDescent="0.35">
      <c r="A143" s="3" t="s">
        <v>0</v>
      </c>
      <c r="B143" s="3" t="str">
        <f>TRIM('[1]UNIDAD 6'!E6)</f>
        <v>Exploro</v>
      </c>
      <c r="C143" s="3" t="str">
        <f>'[1]UNIDAD 6'!F6</f>
        <v>4</v>
      </c>
      <c r="D143" s="3">
        <f>'[1]UNIDAD 6'!H6</f>
        <v>6</v>
      </c>
      <c r="E143" s="2" t="str">
        <f>'[1]UNIDAD 6'!L6</f>
        <v>Comunicando el proceso de indagación en modelación científica.</v>
      </c>
      <c r="F143" s="3" t="str">
        <f>'[1]UNIDAD 6'!R6</f>
        <v>Indagación</v>
      </c>
      <c r="G143" s="3" t="str">
        <f>'[1]UNIDAD 6'!P6</f>
        <v>ALTA</v>
      </c>
      <c r="H143" s="2" t="str">
        <f>'[1]UNIDAD 6'!J6</f>
        <v>Aspectos fisicoquímicos de las sustancias</v>
      </c>
      <c r="I143" s="2" t="str">
        <f>'[1]UNIDAD 6'!T6</f>
        <v>Guía a los estudiantes en el diseño de un pequeño experimento o la formulación de una hipótesis relacionada con conclusiones de los experimentos que realizo, aunque no obtenga los resultados esperados. Complementa pidiendo que registre el proceso en informes o gráficas claras, verificables por un tercero. Verifica que el estudiante formule preguntas y analice resultados propios, y no solo responda preguntas cerradas.</v>
      </c>
      <c r="J143" s="2" t="str">
        <f>'[1]UNIDAD 6'!O6</f>
        <v>Establecer a partir de resultados, tablas, gráficas y procedimientos se lleguen a preguntas o hipótesis concretas.</v>
      </c>
    </row>
    <row r="144" spans="1:10" ht="75" customHeight="1" x14ac:dyDescent="0.35">
      <c r="A144" s="3" t="s">
        <v>0</v>
      </c>
      <c r="B144" s="3" t="str">
        <f>TRIM('[1]UNIDAD 6'!E7)</f>
        <v>Exploro</v>
      </c>
      <c r="C144" s="3">
        <f>'[1]UNIDAD 6'!F7</f>
        <v>5</v>
      </c>
      <c r="D144" s="3">
        <f>'[1]UNIDAD 6'!H7</f>
        <v>6</v>
      </c>
      <c r="E144" s="2" t="str">
        <f>'[1]UNIDAD 6'!L7</f>
        <v>Comunicando el proceso de indagación en modelación científica.</v>
      </c>
      <c r="F144" s="3" t="str">
        <f>'[1]UNIDAD 6'!R7</f>
        <v>Indagación</v>
      </c>
      <c r="G144" s="3" t="str">
        <f>'[1]UNIDAD 6'!P7</f>
        <v>MEDIA</v>
      </c>
      <c r="H144" s="2" t="str">
        <f>'[1]UNIDAD 6'!J7</f>
        <v>Aspectos fisicoquímicos de las sustancias</v>
      </c>
      <c r="I144" s="2" t="str">
        <f>'[1]UNIDAD 6'!T7</f>
        <v>Guía a los estudiantes en el diseño de un pequeño experimento o la formulación de una hipótesis relacionada con conclusiones de los experimentos que realizo, aunque no obtenga los resultados esperados. Complementa pidiendo que registre el proceso en informes o gráficas claras, verificables por un tercero. Verifica que el estudiante formule preguntas y analice resultados propios, y no solo responda preguntas cerradas.</v>
      </c>
      <c r="J144" s="2" t="str">
        <f>'[1]UNIDAD 6'!O7</f>
        <v>Establecer a partir de resultados, tablas, gráficas y procedimientos se lleguen a preguntas o hipótesis concretas.</v>
      </c>
    </row>
    <row r="145" spans="1:10" ht="60" customHeight="1" x14ac:dyDescent="0.35">
      <c r="A145" s="3" t="s">
        <v>0</v>
      </c>
      <c r="B145" s="3" t="str">
        <f>TRIM('[1]UNIDAD 6'!E8)</f>
        <v>Exploro</v>
      </c>
      <c r="C145" s="3">
        <f>'[1]UNIDAD 6'!F8</f>
        <v>6</v>
      </c>
      <c r="D145" s="3">
        <f>'[1]UNIDAD 6'!H8</f>
        <v>6</v>
      </c>
      <c r="E145" s="2" t="str">
        <f>'[1]UNIDAD 6'!L8</f>
        <v>Interactuando con las propiedades y clasificación de la materia en sistemas físicos, químicos y biológicos.</v>
      </c>
      <c r="F145" s="3" t="str">
        <f>'[1]UNIDAD 6'!R8</f>
        <v>Argumentación</v>
      </c>
      <c r="G145" s="3" t="str">
        <f>'[1]UNIDAD 6'!P8</f>
        <v>MEDIA</v>
      </c>
      <c r="H145" s="2" t="str">
        <f>'[1]UNIDAD 6'!J8</f>
        <v>Aspectos analíticos de las mezclas</v>
      </c>
      <c r="I145" s="2" t="str">
        <f>'[1]UNIDAD 6'!T8</f>
        <v>Propón situaciones en las que los estudiantes deban argumentar y sustentar con evidencia sus respuestas acerca de grupos funcionales con las propiedades físicas y químicas de las sustancias. Complementa con una actividad práctica de clasificación de sustancias puras, mezclas, elementos y compuestos. Verifica que el estudiante pueda juzgar la validez de una afirmación o de un modelo explicativo, y no solo describirlo.</v>
      </c>
      <c r="J145" s="2" t="str">
        <f>'[1]UNIDAD 6'!O8</f>
        <v>Explicar las diferencias entre funciones químicas y grupos funcionales.</v>
      </c>
    </row>
    <row r="146" spans="1:10" ht="75" customHeight="1" x14ac:dyDescent="0.35">
      <c r="A146" s="3" t="s">
        <v>0</v>
      </c>
      <c r="B146" s="3" t="str">
        <f>TRIM('[1]UNIDAD 6'!E9)</f>
        <v>Exploro</v>
      </c>
      <c r="C146" s="3" t="str">
        <f>'[1]UNIDAD 6'!F9</f>
        <v>7</v>
      </c>
      <c r="D146" s="3">
        <f>'[1]UNIDAD 6'!H9</f>
        <v>6</v>
      </c>
      <c r="E146" s="2" t="str">
        <f>'[1]UNIDAD 6'!L9</f>
        <v>Comunicando el proceso de indagación en modelación científica.</v>
      </c>
      <c r="F146" s="3" t="str">
        <f>'[1]UNIDAD 6'!R9</f>
        <v>Reconocimiento</v>
      </c>
      <c r="G146" s="3" t="str">
        <f>'[1]UNIDAD 6'!P9</f>
        <v>BAJA</v>
      </c>
      <c r="H146" s="2" t="str">
        <f>'[1]UNIDAD 6'!J9</f>
        <v>Aspectos analíticos de las sustancias</v>
      </c>
      <c r="I146" s="2" t="str">
        <f>'[1]UNIDAD 6'!T9</f>
        <v>Presenta ejemplos y contraejemplos de oralmente y por escrito el proceso de indagación y los resultados que obtengo, utilizando gráficas, tablas y ecuaciones aritméticas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146" s="2" t="str">
        <f>'[1]UNIDAD 6'!O9</f>
        <v>Identificar resultados expresados en tablas, gráficas y procedimientos.</v>
      </c>
    </row>
    <row r="147" spans="1:10" ht="75" customHeight="1" x14ac:dyDescent="0.35">
      <c r="A147" s="3" t="s">
        <v>0</v>
      </c>
      <c r="B147" s="3" t="str">
        <f>TRIM('[1]UNIDAD 6'!E10)</f>
        <v>Exploro</v>
      </c>
      <c r="C147" s="3">
        <f>'[1]UNIDAD 6'!F10</f>
        <v>8</v>
      </c>
      <c r="D147" s="3">
        <f>'[1]UNIDAD 6'!H10</f>
        <v>6</v>
      </c>
      <c r="E147" s="2" t="str">
        <f>'[1]UNIDAD 6'!L10</f>
        <v>Comunicando el proceso de indagación en modelación científica.</v>
      </c>
      <c r="F147" s="3" t="str">
        <f>'[1]UNIDAD 6'!R10</f>
        <v>Reconocimiento</v>
      </c>
      <c r="G147" s="3" t="str">
        <f>'[1]UNIDAD 6'!P10</f>
        <v>BAJA</v>
      </c>
      <c r="H147" s="2" t="str">
        <f>'[1]UNIDAD 6'!J10</f>
        <v>Aspectos analíticos de las mezclas</v>
      </c>
      <c r="I147" s="2" t="str">
        <f>'[1]UNIDAD 6'!T10</f>
        <v>Presenta ejemplos y contraejemplos de oralmente y por escrito el proceso de indagación y los resultados que obtengo, utilizando gráficas, tablas y ecuaciones aritméticas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147" s="2" t="str">
        <f>'[1]UNIDAD 6'!O10</f>
        <v>Identificar resultados expresados en tablas, gráficas y procedimientos.</v>
      </c>
    </row>
    <row r="148" spans="1:10" ht="60" customHeight="1" x14ac:dyDescent="0.35">
      <c r="A148" s="3" t="s">
        <v>0</v>
      </c>
      <c r="B148" s="3" t="str">
        <f>TRIM('[1]UNIDAD 6'!E11)</f>
        <v>Exploro</v>
      </c>
      <c r="C148" s="3">
        <f>'[1]UNIDAD 6'!F11</f>
        <v>9</v>
      </c>
      <c r="D148" s="3">
        <f>'[1]UNIDAD 6'!H11</f>
        <v>6</v>
      </c>
      <c r="E148" s="2" t="str">
        <f>'[1]UNIDAD 6'!L11</f>
        <v>Procesando información registrando y midiendo de manera adecuada las observaciones del proceso de modelación científico.</v>
      </c>
      <c r="F148" s="3" t="str">
        <f>'[1]UNIDAD 6'!R11</f>
        <v>Comprensión</v>
      </c>
      <c r="G148" s="3" t="str">
        <f>'[1]UNIDAD 6'!P11</f>
        <v>ALTA</v>
      </c>
      <c r="H148" s="2" t="str">
        <f>'[1]UNIDAD 6'!J11</f>
        <v>Aspectos analíticos de las sustancias</v>
      </c>
      <c r="I148" s="2" t="str">
        <f>'[1]UNIDAD 6'!T11</f>
        <v>Pide a los estudiantes que expliquen con sus propias palabras fenómenos específicos, verificando que usen correctamente el lenguaje científico. Complementa pidiendo que registre datos con unidades y cifras significativas correctas. Verifica que el estudiante formule preguntas y analice resultados propios, y no solo responda preguntas cerradas.</v>
      </c>
      <c r="J148" s="2" t="str">
        <f>'[1]UNIDAD 6'!O11</f>
        <v>Describir un fenómeno.</v>
      </c>
    </row>
    <row r="149" spans="1:10" ht="75" customHeight="1" x14ac:dyDescent="0.35">
      <c r="A149" s="3" t="s">
        <v>0</v>
      </c>
      <c r="B149" s="3" t="str">
        <f>TRIM('[1]UNIDAD 6'!E12)</f>
        <v>Exploro</v>
      </c>
      <c r="C149" s="3" t="str">
        <f>'[1]UNIDAD 6'!F12</f>
        <v>10</v>
      </c>
      <c r="D149" s="3">
        <f>'[1]UNIDAD 6'!H12</f>
        <v>6</v>
      </c>
      <c r="E149" s="2" t="str">
        <f>'[1]UNIDAD 6'!L12</f>
        <v>Comunicando el proceso de indagación en modelación científica.</v>
      </c>
      <c r="F149" s="3" t="str">
        <f>'[1]UNIDAD 6'!R12</f>
        <v>Reconocimiento</v>
      </c>
      <c r="G149" s="3" t="str">
        <f>'[1]UNIDAD 6'!P12</f>
        <v>MEDIA</v>
      </c>
      <c r="H149" s="2" t="str">
        <f>'[1]UNIDAD 6'!J12</f>
        <v>Aspectos fisicoquímicos de las sustancias</v>
      </c>
      <c r="I149" s="2" t="str">
        <f>'[1]UNIDAD 6'!T12</f>
        <v>Presenta ejemplos y contraejemplos de oralmente y por escrito el proceso de indagación y los resultados que obtengo, utilizando gráficas, tablas y ecuaciones aritméticas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149" s="2" t="str">
        <f>'[1]UNIDAD 6'!O12</f>
        <v>Encontrar regularidades y patrones que permiten llegar a conclusiones o resultados.</v>
      </c>
    </row>
    <row r="150" spans="1:10" ht="75" customHeight="1" x14ac:dyDescent="0.35">
      <c r="A150" s="3" t="s">
        <v>0</v>
      </c>
      <c r="B150" s="3" t="str">
        <f>TRIM('[1]UNIDAD 6'!E13)</f>
        <v>Desarrollo</v>
      </c>
      <c r="C150" s="3">
        <f>'[1]UNIDAD 6'!F13</f>
        <v>1</v>
      </c>
      <c r="D150" s="3">
        <f>'[1]UNIDAD 6'!H13</f>
        <v>6</v>
      </c>
      <c r="E150" s="2" t="str">
        <f>'[1]UNIDAD 6'!L13</f>
        <v>Interactuando con las propiedades y clasificación de la materia en sistemas físicos, químicos y biológicos.</v>
      </c>
      <c r="F150" s="3" t="str">
        <f>'[1]UNIDAD 6'!R13</f>
        <v>Reconocimiento</v>
      </c>
      <c r="G150" s="3" t="str">
        <f>'[1]UNIDAD 6'!P13</f>
        <v>BAJA</v>
      </c>
      <c r="H150" s="2" t="str">
        <f>'[1]UNIDAD 6'!J13</f>
        <v>Aspectos analíticos de las sustancias</v>
      </c>
      <c r="I150" s="2" t="str">
        <f>'[1]UNIDAD 6'!T13</f>
        <v>Presenta ejemplos y contraejemplos de la tabla periódica para determinar propiedades físicas y químicas de los elementos y pide a los estudiantes que los clasifiquen, antes de avanzar a preguntas más complejas. Complementa con una actividad práctica de clasificación de sustancias puras, mezclas, elementos y compuestos. Verifica que el estudiante no se limite a repetir el concepto, sino que lo use para resolver un problema distinto al trabajado en clase.</v>
      </c>
      <c r="J150" s="2" t="str">
        <f>'[1]UNIDAD 6'!O13</f>
        <v>Reconocer cómo disminuye o aumenta una propiedad periódica teniendo en cuenta tablas, gráficas o artículos.</v>
      </c>
    </row>
    <row r="151" spans="1:10" ht="75" customHeight="1" x14ac:dyDescent="0.35">
      <c r="A151" s="3" t="s">
        <v>0</v>
      </c>
      <c r="B151" s="3" t="str">
        <f>TRIM('[1]UNIDAD 6'!E14)</f>
        <v>Desarrollo</v>
      </c>
      <c r="C151" s="3">
        <f>'[1]UNIDAD 6'!F14</f>
        <v>2</v>
      </c>
      <c r="D151" s="3">
        <f>'[1]UNIDAD 6'!H14</f>
        <v>6</v>
      </c>
      <c r="E151" s="2" t="str">
        <f>'[1]UNIDAD 6'!L14</f>
        <v>Generando explicaciones a preguntas e hipótesis acerca de la modelación científica.</v>
      </c>
      <c r="F151" s="3" t="str">
        <f>'[1]UNIDAD 6'!R14</f>
        <v>Reconocimiento</v>
      </c>
      <c r="G151" s="3" t="str">
        <f>'[1]UNIDAD 6'!P14</f>
        <v>ALTA</v>
      </c>
      <c r="H151" s="2" t="str">
        <f>'[1]UNIDAD 6'!J14</f>
        <v>Aspectos analíticos de las sustancias</v>
      </c>
      <c r="I151" s="2" t="str">
        <f>'[1]UNIDAD 6'!T14</f>
        <v>Presenta ejemplos y contraejemplos de mis conclusiones con las presentadas por otros autores y formulo nuevas preguntas y pide a los estudiantes que los clasifiquen, antes de avanzar a preguntas más complejas. Complementa pidiendo que formule una hipótesis propia y la contraste con un resultado observado. Verifica que el estudiante formule preguntas y analice resultados propios, y no solo responda preguntas cerradas.</v>
      </c>
      <c r="J151" s="2" t="str">
        <f>'[1]UNIDAD 6'!O14</f>
        <v>Identificar nuevas preguntas de indagación que surgen de los resultados.</v>
      </c>
    </row>
    <row r="152" spans="1:10" ht="60" customHeight="1" x14ac:dyDescent="0.35">
      <c r="A152" s="3" t="s">
        <v>0</v>
      </c>
      <c r="B152" s="3" t="str">
        <f>TRIM('[1]UNIDAD 6'!E15)</f>
        <v>Desarrollo</v>
      </c>
      <c r="C152" s="3">
        <f>'[1]UNIDAD 6'!F15</f>
        <v>3</v>
      </c>
      <c r="D152" s="3">
        <f>'[1]UNIDAD 6'!H15</f>
        <v>6</v>
      </c>
      <c r="E152" s="2" t="str">
        <f>'[1]UNIDAD 6'!L15</f>
        <v>Conectando teorías, leyes, afirmaciones y sus implicaciones en los sistemas fisicoquímicos.</v>
      </c>
      <c r="F152" s="3" t="str">
        <f>'[1]UNIDAD 6'!R15</f>
        <v>Aplicación</v>
      </c>
      <c r="G152" s="3" t="str">
        <f>'[1]UNIDAD 6'!P15</f>
        <v>ALTA</v>
      </c>
      <c r="H152" s="2" t="str">
        <f>'[1]UNIDAD 6'!J15</f>
        <v>Aspectos analíticos de las sustancias</v>
      </c>
      <c r="I152" s="2" t="str">
        <f>'[1]UNIDAD 6'!T15</f>
        <v>Realiza ejercicios prácticos guiados paso a paso sobre la relación entre la estructura de los átomos y los enlaces que realiza, retroalimentando el procedimiento y no solo el resultado. Complementa pidiendo que justifique cada afirmación citando la ley o el modelo teórico que la sustenta. Verifica que el estudiante no se limite a repetir el concepto, sino que lo use para resolver un problema distinto al trabajado en clase.</v>
      </c>
      <c r="J152" s="2" t="str">
        <f>'[1]UNIDAD 6'!O15</f>
        <v>Determinar a partir de información como: configuración electrónica, propiedades periódicas, gráficas o tablas periódicas, qué tipo de enlace químico se está formando.</v>
      </c>
    </row>
    <row r="153" spans="1:10" ht="60" customHeight="1" x14ac:dyDescent="0.35">
      <c r="A153" s="3" t="s">
        <v>0</v>
      </c>
      <c r="B153" s="3" t="str">
        <f>TRIM('[1]UNIDAD 6'!E16)</f>
        <v>Desarrollo</v>
      </c>
      <c r="C153" s="3">
        <f>'[1]UNIDAD 6'!F16</f>
        <v>4</v>
      </c>
      <c r="D153" s="3">
        <f>'[1]UNIDAD 6'!H16</f>
        <v>6</v>
      </c>
      <c r="E153" s="2" t="str">
        <f>'[1]UNIDAD 6'!L16</f>
        <v>Procesando información registrando y midiendo de manera adecuada las observaciones del proceso de modelación científico.</v>
      </c>
      <c r="F153" s="3" t="str">
        <f>'[1]UNIDAD 6'!R16</f>
        <v>Aplicación</v>
      </c>
      <c r="G153" s="3" t="str">
        <f>'[1]UNIDAD 6'!P16</f>
        <v>BAJA</v>
      </c>
      <c r="H153" s="2" t="str">
        <f>'[1]UNIDAD 6'!J16</f>
        <v>Aspectos analíticos de las sustancias</v>
      </c>
      <c r="I153" s="2" t="str">
        <f>'[1]UNIDAD 6'!T16</f>
        <v>Realiza ejercicios prácticos guiados paso a paso sobre mis observaciones y resultados utilizando esquemas, gráficos y tablas, retroalimentando el procedimiento y no solo el resultado. Complementa pidiendo que registre datos con unidades y cifras significativas correctas. Verifica que el estudiante formule preguntas y analice resultados propios, y no solo responda preguntas cerradas.</v>
      </c>
      <c r="J153" s="2" t="str">
        <f>'[1]UNIDAD 6'!O16</f>
        <v>Anotar los resultados de un experimento o investigación mediante esquemas, gráficos o tablas.</v>
      </c>
    </row>
    <row r="154" spans="1:10" ht="75" customHeight="1" x14ac:dyDescent="0.35">
      <c r="A154" s="3" t="s">
        <v>0</v>
      </c>
      <c r="B154" s="3" t="str">
        <f>TRIM('[1]UNIDAD 6'!E17)</f>
        <v>Desarrollo</v>
      </c>
      <c r="C154" s="3">
        <f>'[1]UNIDAD 6'!F17</f>
        <v>5</v>
      </c>
      <c r="D154" s="3">
        <f>'[1]UNIDAD 6'!H17</f>
        <v>6</v>
      </c>
      <c r="E154" s="2" t="str">
        <f>'[1]UNIDAD 6'!L17</f>
        <v>Comunicando el proceso de indagación en modelación científica.</v>
      </c>
      <c r="F154" s="3" t="str">
        <f>'[1]UNIDAD 6'!R17</f>
        <v>Aplicación</v>
      </c>
      <c r="G154" s="3" t="str">
        <f>'[1]UNIDAD 6'!P17</f>
        <v>BAJA</v>
      </c>
      <c r="H154" s="2" t="str">
        <f>'[1]UNIDAD 6'!J17</f>
        <v>Aspectos fisicoquímicos de las mezclas</v>
      </c>
      <c r="I154" s="2" t="str">
        <f>'[1]UNIDAD 6'!T17</f>
        <v>Realiza ejercicios prácticos guiados paso a paso sobre conclusiones de los experimentos que realizo, aunque no obtenga los resultados esperados, retroalimentando el procedimiento y no solo el resultado. Complementa pidiendo que registre el proceso en informes o gráficas claras, verificables por un tercero. Verifica que el estudiante formule preguntas y analice resultados propios, y no solo responda preguntas cerradas.</v>
      </c>
      <c r="J154" s="2" t="str">
        <f>'[1]UNIDAD 6'!O17</f>
        <v>Obtener conclusiones a partir de información reportada en gráficos.</v>
      </c>
    </row>
    <row r="155" spans="1:10" ht="60" customHeight="1" x14ac:dyDescent="0.35">
      <c r="A155" s="3" t="s">
        <v>0</v>
      </c>
      <c r="B155" s="3" t="str">
        <f>TRIM('[1]UNIDAD 6'!E18)</f>
        <v>Desarrollo</v>
      </c>
      <c r="C155" s="3">
        <f>'[1]UNIDAD 6'!F18</f>
        <v>6</v>
      </c>
      <c r="D155" s="3">
        <f>'[1]UNIDAD 6'!H18</f>
        <v>6</v>
      </c>
      <c r="E155" s="2" t="str">
        <f>'[1]UNIDAD 6'!L18</f>
        <v>Procesando información registrando y midiendo de manera adecuada las observaciones del proceso de modelación científico.</v>
      </c>
      <c r="F155" s="3" t="str">
        <f>'[1]UNIDAD 6'!R18</f>
        <v>Aplicación</v>
      </c>
      <c r="G155" s="3" t="str">
        <f>'[1]UNIDAD 6'!P18</f>
        <v>BAJA</v>
      </c>
      <c r="H155" s="2" t="str">
        <f>'[1]UNIDAD 6'!J18</f>
        <v>Aspectos fisicoquímicos de las sustancias</v>
      </c>
      <c r="I155" s="2" t="str">
        <f>'[1]UNIDAD 6'!T18</f>
        <v>Realiza ejercicios prácticos guiados paso a paso sobre mis observaciones y resultados utilizando esquemas, gráficos y tablas, retroalimentando el procedimiento y no solo el resultado. Complementa pidiendo que registre datos con unidades y cifras significativas correctas. Verifica que el estudiante formule preguntas y analice resultados propios, y no solo responda preguntas cerradas.</v>
      </c>
      <c r="J155" s="2" t="str">
        <f>'[1]UNIDAD 6'!O18</f>
        <v>Anotar los resultados de un experimento o investigación mediante esquemas, gráficas o tablas.</v>
      </c>
    </row>
    <row r="156" spans="1:10" ht="60" customHeight="1" x14ac:dyDescent="0.35">
      <c r="A156" s="3" t="s">
        <v>0</v>
      </c>
      <c r="B156" s="3" t="str">
        <f>TRIM('[1]UNIDAD 6'!E19)</f>
        <v>Desarrollo</v>
      </c>
      <c r="C156" s="3">
        <f>'[1]UNIDAD 6'!F19</f>
        <v>7</v>
      </c>
      <c r="D156" s="3">
        <f>'[1]UNIDAD 6'!H19</f>
        <v>6</v>
      </c>
      <c r="E156" s="2" t="str">
        <f>'[1]UNIDAD 6'!L19</f>
        <v>Integrando las transformaciones de la materia con los cambios de las sustancias en la vida cotidiana.</v>
      </c>
      <c r="F156" s="3" t="str">
        <f>'[1]UNIDAD 6'!R19</f>
        <v>Indagación</v>
      </c>
      <c r="G156" s="3" t="str">
        <f>'[1]UNIDAD 6'!P19</f>
        <v>ALTA</v>
      </c>
      <c r="H156" s="2" t="str">
        <f>'[1]UNIDAD 6'!J19</f>
        <v>Aspectos fisicoquímicos de las sustancias</v>
      </c>
      <c r="I156" s="2" t="str">
        <f>'[1]UNIDAD 6'!T19</f>
        <v>Guía a los estudiantes en el diseño de un pequeño experimento o la formulación de una hipótesis relacionada con cálculos cuantitativos en cambios químicos. Complementa con ejercicios de balanceo y estequiometría aplicados a ejemplos observables de la vida cotidiana. Verifica que el estudiante pueda juzgar la validez de una afirmación o de un modelo explicativo, y no solo describirlo.</v>
      </c>
      <c r="J156" s="2" t="str">
        <f>'[1]UNIDAD 6'!O19</f>
        <v>Establecer las magnitudes de un gas teniendo en cuenta las leyes y sus variables.</v>
      </c>
    </row>
    <row r="157" spans="1:10" ht="60" customHeight="1" x14ac:dyDescent="0.35">
      <c r="A157" s="3" t="s">
        <v>0</v>
      </c>
      <c r="B157" s="3" t="str">
        <f>TRIM('[1]UNIDAD 6'!E20)</f>
        <v>Desarrollo</v>
      </c>
      <c r="C157" s="3" t="str">
        <f>'[1]UNIDAD 6'!F20</f>
        <v>8</v>
      </c>
      <c r="D157" s="3">
        <f>'[1]UNIDAD 6'!H20</f>
        <v>6</v>
      </c>
      <c r="E157" s="2" t="str">
        <f>'[1]UNIDAD 6'!L20</f>
        <v>Integrando las transformaciones de la materia con los cambios de las sustancias en la vida cotidiana.</v>
      </c>
      <c r="F157" s="3" t="str">
        <f>'[1]UNIDAD 6'!R20</f>
        <v>Reconocimiento</v>
      </c>
      <c r="G157" s="3" t="str">
        <f>'[1]UNIDAD 6'!P20</f>
        <v>MEDIA</v>
      </c>
      <c r="H157" s="2" t="str">
        <f>'[1]UNIDAD 6'!J20</f>
        <v>Aspectos analíticos de las mezclas</v>
      </c>
      <c r="I157" s="2" t="str">
        <f>'[1]UNIDAD 6'!T20</f>
        <v>Presenta ejemplos y contraejemplos de cálculos cuantitativos en cambios químicos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157" s="2" t="str">
        <f>'[1]UNIDAD 6'!O20</f>
        <v>Reconocer propiedades o características de los gases cuando modifican sus magnitudes.</v>
      </c>
    </row>
    <row r="158" spans="1:10" ht="75" customHeight="1" x14ac:dyDescent="0.35">
      <c r="A158" s="3" t="s">
        <v>0</v>
      </c>
      <c r="B158" s="3" t="str">
        <f>TRIM('[1]UNIDAD 6'!E21)</f>
        <v>Desarrollo</v>
      </c>
      <c r="C158" s="3">
        <f>'[1]UNIDAD 6'!F21</f>
        <v>9</v>
      </c>
      <c r="D158" s="3">
        <f>'[1]UNIDAD 6'!H21</f>
        <v>6</v>
      </c>
      <c r="E158" s="2" t="str">
        <f>'[1]UNIDAD 6'!L21</f>
        <v>Integrando las transformaciones de la materia con los cambios de las sustancias en la vida cotidiana.</v>
      </c>
      <c r="F158" s="3" t="str">
        <f>'[1]UNIDAD 6'!R21</f>
        <v>Reconocimiento</v>
      </c>
      <c r="G158" s="3" t="str">
        <f>'[1]UNIDAD 6'!P21</f>
        <v>MEDIA</v>
      </c>
      <c r="H158" s="2" t="str">
        <f>'[1]UNIDAD 6'!J21</f>
        <v>Aspectos fisicoquímicos de las mezclas</v>
      </c>
      <c r="I158" s="2" t="str">
        <f>'[1]UNIDAD 6'!T21</f>
        <v>Presenta ejemplos y contraejemplos de cambios químicos en la vida cotidiana y en el ambiente y pide a los estudiantes que los clasifiquen, antes de avanzar a preguntas más complejas. Complementa con ejercicios de balanceo y estequiometría aplicados a ejemplos observables de la vida cotidiana. Verifica que el estudiante no se limite a repetir el concepto, sino que lo use para resolver un problema distinto al trabajado en clase.</v>
      </c>
      <c r="J158" s="2" t="str">
        <f>'[1]UNIDAD 6'!O21</f>
        <v>Indicar los principios físicos que permiten que se lleven a cabo procesos de separación de mezclas.</v>
      </c>
    </row>
    <row r="159" spans="1:10" ht="75" customHeight="1" x14ac:dyDescent="0.35">
      <c r="A159" s="3" t="s">
        <v>0</v>
      </c>
      <c r="B159" s="3" t="str">
        <f>TRIM('[1]UNIDAD 6'!E22)</f>
        <v>Desarrollo</v>
      </c>
      <c r="C159" s="3">
        <f>'[1]UNIDAD 6'!F22</f>
        <v>10</v>
      </c>
      <c r="D159" s="3">
        <f>'[1]UNIDAD 6'!H22</f>
        <v>6</v>
      </c>
      <c r="E159" s="2" t="str">
        <f>'[1]UNIDAD 6'!L22</f>
        <v>Comunicando el proceso de indagación en modelación científica.</v>
      </c>
      <c r="F159" s="3" t="str">
        <f>'[1]UNIDAD 6'!R22</f>
        <v>Comprensión</v>
      </c>
      <c r="G159" s="3" t="str">
        <f>'[1]UNIDAD 6'!P22</f>
        <v>BAJA</v>
      </c>
      <c r="H159" s="2" t="str">
        <f>'[1]UNIDAD 6'!J22</f>
        <v>Aspectos fisicoquímicos de las mezclas</v>
      </c>
      <c r="I159" s="2" t="str">
        <f>'[1]UNIDAD 6'!T22</f>
        <v>Pide a los estudiantes que expliquen con sus propias palabras oralmente y por escrito el proceso de indagación y los resultados que obtengo, utilizando gráficas, tablas y ecuaciones aritméticas, verificando que usen correctamente el lenguaje científico. Complementa pidiendo que registre el proceso en informes o gráficas claras, verificables por un tercero. Verifica que el estudiante formule preguntas y analice resultados propios, y no solo responda preguntas cerradas.</v>
      </c>
      <c r="J159" s="2" t="str">
        <f>'[1]UNIDAD 6'!O22</f>
        <v>Describir los resultados de una manera coherente.</v>
      </c>
    </row>
    <row r="160" spans="1:10" ht="75" customHeight="1" x14ac:dyDescent="0.35">
      <c r="A160" s="3" t="s">
        <v>0</v>
      </c>
      <c r="B160" s="3" t="str">
        <f>TRIM('[1]UNIDAD 6'!E23)</f>
        <v>Desarrollo</v>
      </c>
      <c r="C160" s="3">
        <f>'[1]UNIDAD 6'!F23</f>
        <v>11</v>
      </c>
      <c r="D160" s="3">
        <f>'[1]UNIDAD 6'!H23</f>
        <v>6</v>
      </c>
      <c r="E160" s="2" t="str">
        <f>'[1]UNIDAD 6'!L23</f>
        <v>Comunicando el proceso de indagación en modelación científica.</v>
      </c>
      <c r="F160" s="3" t="str">
        <f>'[1]UNIDAD 6'!R23</f>
        <v>Argumentación</v>
      </c>
      <c r="G160" s="3" t="str">
        <f>'[1]UNIDAD 6'!P23</f>
        <v>MEDIA</v>
      </c>
      <c r="H160" s="2" t="str">
        <f>'[1]UNIDAD 6'!J23</f>
        <v>Aspectos analíticos de las mezclas</v>
      </c>
      <c r="I160" s="2" t="str">
        <f>'[1]UNIDAD 6'!T23</f>
        <v>Propón situaciones en las que los estudiantes deban argumentar y sustentar con evidencia sus respuestas acerca de conclusiones de los experimentos que realizo, aunque no obtenga los resultados esperados. Complementa pidiendo que registre el proceso en informes o gráficas claras, verificables por un tercero. Verifica que el estudiante formule preguntas y analice resultados propios, y no solo responda preguntas cerradas.</v>
      </c>
      <c r="J160" s="2" t="str">
        <f>'[1]UNIDAD 6'!O23</f>
        <v>Corroborar o refutar la hipótesis planteada en un experimento.</v>
      </c>
    </row>
    <row r="161" spans="1:10" ht="60" customHeight="1" x14ac:dyDescent="0.35">
      <c r="A161" s="3" t="s">
        <v>0</v>
      </c>
      <c r="B161" s="3" t="str">
        <f>TRIM('[1]UNIDAD 6'!E24)</f>
        <v>Desarrollo</v>
      </c>
      <c r="C161" s="3">
        <f>'[1]UNIDAD 6'!F24</f>
        <v>12</v>
      </c>
      <c r="D161" s="3">
        <f>'[1]UNIDAD 6'!H24</f>
        <v>6</v>
      </c>
      <c r="E161" s="2" t="str">
        <f>'[1]UNIDAD 6'!L24</f>
        <v>Comunicando el proceso de indagación en modelación científica.</v>
      </c>
      <c r="F161" s="3" t="str">
        <f>'[1]UNIDAD 6'!R24</f>
        <v>Reconocimiento</v>
      </c>
      <c r="G161" s="3" t="str">
        <f>'[1]UNIDAD 6'!P24</f>
        <v>BAJA</v>
      </c>
      <c r="H161" s="2" t="str">
        <f>'[1]UNIDAD 6'!J24</f>
        <v>Aspectos analíticos de las mezclas</v>
      </c>
      <c r="I161" s="2" t="str">
        <f>'[1]UNIDAD 6'!T24</f>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161" s="2" t="str">
        <f>'[1]UNIDAD 6'!O24</f>
        <v>Identificar el mejor título de un experimento.</v>
      </c>
    </row>
    <row r="162" spans="1:10" ht="75" customHeight="1" x14ac:dyDescent="0.35">
      <c r="A162" s="3" t="s">
        <v>0</v>
      </c>
      <c r="B162" s="3" t="str">
        <f>TRIM('[1]UNIDAD 6'!E25)</f>
        <v>Desarrollo</v>
      </c>
      <c r="C162" s="3">
        <f>'[1]UNIDAD 6'!F25</f>
        <v>13</v>
      </c>
      <c r="D162" s="3">
        <f>'[1]UNIDAD 6'!H25</f>
        <v>6</v>
      </c>
      <c r="E162" s="2" t="str">
        <f>'[1]UNIDAD 6'!L25</f>
        <v>Modelando y diseñando experiencias para reconocer las variables que permiten obtener resultados y conclusiones.</v>
      </c>
      <c r="F162" s="3" t="str">
        <f>'[1]UNIDAD 6'!R25</f>
        <v>Indagación</v>
      </c>
      <c r="G162" s="3" t="str">
        <f>'[1]UNIDAD 6'!P25</f>
        <v>ALTA</v>
      </c>
      <c r="H162" s="2" t="str">
        <f>'[1]UNIDAD 6'!J25</f>
        <v>Aspectos analíticos de las mezclas</v>
      </c>
      <c r="I162" s="2" t="str">
        <f>'[1]UNIDAD 6'!T25</f>
        <v>Guía a los estudiantes en el diseño de un pequeño experimento o la formulación de una hipótesis relacionada con modelos para predecir los resultados de mis experimentos y simulaciones. Complementa pidiendo que identifique la variable independiente, la dependiente y la de control en un montaje sencillo. Verifica que el estudiante formule preguntas y analice resultados propios, y no solo responda preguntas cerradas.</v>
      </c>
      <c r="J162" s="2" t="str">
        <f>'[1]UNIDAD 6'!O25</f>
        <v>Proponer como se encuentra dividido el procedimiento de un determinado experimento</v>
      </c>
    </row>
    <row r="163" spans="1:10" ht="60" customHeight="1" x14ac:dyDescent="0.35">
      <c r="A163" s="3" t="s">
        <v>0</v>
      </c>
      <c r="B163" s="3" t="str">
        <f>TRIM('[1]UNIDAD 6'!E26)</f>
        <v>Desarrollo</v>
      </c>
      <c r="C163" s="3">
        <f>'[1]UNIDAD 6'!F26</f>
        <v>14</v>
      </c>
      <c r="D163" s="3">
        <f>'[1]UNIDAD 6'!H26</f>
        <v>6</v>
      </c>
      <c r="E163" s="2" t="str">
        <f>'[1]UNIDAD 6'!L26</f>
        <v>Integrando las transformaciones de la materia con los cambios de las sustancias en la vida cotidiana.</v>
      </c>
      <c r="F163" s="3" t="str">
        <f>'[1]UNIDAD 6'!R26</f>
        <v>Comprensión</v>
      </c>
      <c r="G163" s="3" t="str">
        <f>'[1]UNIDAD 6'!P26</f>
        <v>MEDIA</v>
      </c>
      <c r="H163" s="2" t="str">
        <f>'[1]UNIDAD 6'!J26</f>
        <v>Aspectos fisicoquímicos de las sustancias</v>
      </c>
      <c r="I163" s="2" t="str">
        <f>'[1]UNIDAD 6'!T26</f>
        <v>Pide a los estudiantes que expliquen con sus propias palabras cambios químicos en la vida cotidiana y en el ambiente, verificando que usen correctamente el lenguaje científico. Complementa con ejercicios de balanceo y estequiometría aplicados a ejemplos observables de la vida cotidiana. Verifica que el estudiante pueda juzgar la validez de una afirmación o de un modelo explicativo, y no solo describirlo.</v>
      </c>
      <c r="J163" s="2" t="str">
        <f>'[1]UNIDAD 6'!O26</f>
        <v>Describir cambios químicos a través de la ecuación que corresponde a dicho cambio químico.</v>
      </c>
    </row>
    <row r="164" spans="1:10" ht="60" customHeight="1" x14ac:dyDescent="0.35">
      <c r="A164" s="3" t="s">
        <v>0</v>
      </c>
      <c r="B164" s="3" t="str">
        <f>TRIM('[1]UNIDAD 6'!E27)</f>
        <v>Desarrollo</v>
      </c>
      <c r="C164" s="3">
        <f>'[1]UNIDAD 6'!F27</f>
        <v>15</v>
      </c>
      <c r="D164" s="3">
        <f>'[1]UNIDAD 6'!H27</f>
        <v>6</v>
      </c>
      <c r="E164" s="2" t="str">
        <f>'[1]UNIDAD 6'!L27</f>
        <v>Comunicando el proceso de indagación en modelación científica.</v>
      </c>
      <c r="F164" s="3" t="str">
        <f>'[1]UNIDAD 6'!R27</f>
        <v>Reconocimiento</v>
      </c>
      <c r="G164" s="3" t="str">
        <f>'[1]UNIDAD 6'!P27</f>
        <v>ALTA</v>
      </c>
      <c r="H164" s="2" t="str">
        <f>'[1]UNIDAD 6'!J27</f>
        <v>Aspectos fisicoquímicos de las sustancias</v>
      </c>
      <c r="I164" s="2" t="str">
        <f>'[1]UNIDAD 6'!T27</f>
        <v>Presenta ejemplos y contraejemplos de y uso adecuadamente el lenguaje propio de las ciencias y pide a los estudiantes que los clasifiquen, antes de avanzar a preguntas más complejas. Complementa pidiendo que registre el proceso en informes o gráficas claras, verificables por un tercero. Verifica que el estudiante formule preguntas y analice resultados propios, y no solo responda preguntas cerradas.</v>
      </c>
      <c r="J164" s="2" t="str">
        <f>'[1]UNIDAD 6'!O27</f>
        <v>Identificar el mejor título de un experimento.</v>
      </c>
    </row>
    <row r="165" spans="1:10" ht="60" customHeight="1" x14ac:dyDescent="0.35">
      <c r="A165" s="3" t="s">
        <v>0</v>
      </c>
      <c r="B165" s="3" t="str">
        <f>TRIM('[1]UNIDAD 6'!E28)</f>
        <v>Aplico</v>
      </c>
      <c r="C165" s="3" t="str">
        <f>'[1]UNIDAD 6'!F28</f>
        <v>1</v>
      </c>
      <c r="D165" s="3">
        <f>'[1]UNIDAD 6'!H28</f>
        <v>6</v>
      </c>
      <c r="E165" s="2" t="str">
        <f>'[1]UNIDAD 6'!L28</f>
        <v>Integrando las transformaciones de la materia con los cambios de las sustancias en la vida cotidiana.</v>
      </c>
      <c r="F165" s="3" t="str">
        <f>'[1]UNIDAD 6'!R28</f>
        <v>Indagación</v>
      </c>
      <c r="G165" s="3" t="str">
        <f>'[1]UNIDAD 6'!P28</f>
        <v>MEDIA</v>
      </c>
      <c r="H165" s="2" t="str">
        <f>'[1]UNIDAD 6'!J28</f>
        <v>Aspectos analíticos de las mezclas</v>
      </c>
      <c r="I165" s="2" t="str">
        <f>'[1]UNIDAD 6'!T28</f>
        <v>Guía a los estudiantes en el diseño de un pequeño experimento o la formulación de una hipótesis relacionada con cambios químicos en la vida cotidiana y en el ambiente. Complementa con ejercicios de balanceo y estequiometría aplicados a ejemplos observables de la vida cotidiana. Verifica que el estudiante no se limite a repetir el concepto, sino que lo use para resolver un problema distinto al trabajado en clase.</v>
      </c>
      <c r="J165" s="2" t="str">
        <f>'[1]UNIDAD 6'!O28</f>
        <v>Establecer las relaciones entre las diversas formas de concentración físicas y químicas.</v>
      </c>
    </row>
    <row r="166" spans="1:10" ht="60" customHeight="1" x14ac:dyDescent="0.35">
      <c r="A166" s="3" t="s">
        <v>0</v>
      </c>
      <c r="B166" s="3" t="str">
        <f>TRIM('[1]UNIDAD 6'!E29)</f>
        <v>Aplico</v>
      </c>
      <c r="C166" s="3" t="str">
        <f>'[1]UNIDAD 6'!F29</f>
        <v>2</v>
      </c>
      <c r="D166" s="3">
        <f>'[1]UNIDAD 6'!H29</f>
        <v>6</v>
      </c>
      <c r="E166" s="2" t="str">
        <f>'[1]UNIDAD 6'!L29</f>
        <v>Integrando las transformaciones de la materia con los cambios de las sustancias en la vida cotidiana.</v>
      </c>
      <c r="F166" s="3" t="str">
        <f>'[1]UNIDAD 6'!R29</f>
        <v>Argumentación</v>
      </c>
      <c r="G166" s="3" t="str">
        <f>'[1]UNIDAD 6'!P29</f>
        <v>MEDIA</v>
      </c>
      <c r="H166" s="2" t="str">
        <f>'[1]UNIDAD 6'!J29</f>
        <v>Aspectos fisicoquímicos de las sustancias</v>
      </c>
      <c r="I166" s="2" t="str">
        <f>'[1]UNIDAD 6'!T29</f>
        <v>Propón situaciones en las que los estudiantes deban argumentar y sustentar con evidencia sus respuestas acerca de cambios químicos en la vida cotidiana y en el ambiente. Complementa con ejercicios de balanceo y estequiometría aplicados a ejemplos observables de la vida cotidiana. Verifica que el estudiante pueda juzgar la validez de una afirmación o de un modelo explicativo, y no solo describirlo.</v>
      </c>
      <c r="J166" s="2" t="str">
        <f>'[1]UNIDAD 6'!O29</f>
        <v>Argumentar como la energía altera la organización de las partículas.</v>
      </c>
    </row>
    <row r="167" spans="1:10" ht="45" customHeight="1" x14ac:dyDescent="0.35">
      <c r="A167" s="3" t="s">
        <v>0</v>
      </c>
      <c r="B167" s="3" t="str">
        <f>TRIM('[1]UNIDAD 6'!E30)</f>
        <v>Aplico</v>
      </c>
      <c r="C167" s="3" t="str">
        <f>'[1]UNIDAD 6'!F30</f>
        <v>3</v>
      </c>
      <c r="D167" s="3">
        <f>'[1]UNIDAD 6'!H30</f>
        <v>6</v>
      </c>
      <c r="E167" s="2" t="str">
        <f>'[1]UNIDAD 6'!L30</f>
        <v>Integrando los avances tecnológicos y el desarrollo científico en la sociedad.</v>
      </c>
      <c r="F167" s="3" t="str">
        <f>'[1]UNIDAD 6'!R30</f>
        <v>Reconocimiento</v>
      </c>
      <c r="G167" s="3">
        <f>'[1]UNIDAD 6'!P30</f>
        <v>0</v>
      </c>
      <c r="H167" s="2">
        <f>'[1]UNIDAD 6'!J30</f>
        <v>0</v>
      </c>
      <c r="I167" s="2" t="str">
        <f>'[1]UNIDAD 6'!T30</f>
        <v>Presenta ejemplos y contraejemplos de aplicaciones de los diferentes modelos de la luz y pide a los estudiantes que los clasifiquen, antes de avanzar a preguntas más complejas. Complementa con un debate corto sobre ventajas y riesgos de un desarrollo tecnológico concreto.</v>
      </c>
      <c r="J167" s="2">
        <f>'[1]UNIDAD 6'!O30</f>
        <v>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Rejilla_Para_Plataforma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Bahamon Lievano</dc:creator>
  <cp:lastModifiedBy>Sergio Bahamon Lievano</cp:lastModifiedBy>
  <dcterms:created xsi:type="dcterms:W3CDTF">2026-08-13T13:32:40Z</dcterms:created>
  <dcterms:modified xsi:type="dcterms:W3CDTF">2026-08-13T13:33:36Z</dcterms:modified>
</cp:coreProperties>
</file>